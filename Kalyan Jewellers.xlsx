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win10\OneDrive\Desktop\"/>
    </mc:Choice>
  </mc:AlternateContent>
  <xr:revisionPtr revIDLastSave="0" documentId="13_ncr:1_{CE9864C9-CFA3-4A17-96A2-74AA56191719}" xr6:coauthVersionLast="47" xr6:coauthVersionMax="47" xr10:uidLastSave="{00000000-0000-0000-0000-000000000000}"/>
  <bookViews>
    <workbookView xWindow="-108" yWindow="-108" windowWidth="23256" windowHeight="12456" firstSheet="3" activeTab="3" xr2:uid="{3558A4E3-0624-4A20-A9E5-EA7A700ACC8C}"/>
  </bookViews>
  <sheets>
    <sheet name="SOFP" sheetId="1" state="veryHidden" r:id="rId1"/>
    <sheet name="SOPL" sheetId="2" state="veryHidden" r:id="rId2"/>
    <sheet name="SOCF" sheetId="3" state="veryHidden" r:id="rId3"/>
    <sheet name="Dashboard" sheetId="4" r:id="rId4"/>
  </sheets>
  <definedNames>
    <definedName name="Slicer_Year">#N/A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2" i="2" l="1"/>
  <c r="C42" i="2"/>
  <c r="D42" i="2"/>
  <c r="E42" i="2"/>
  <c r="F42" i="2"/>
  <c r="G42" i="2"/>
  <c r="H42" i="2"/>
  <c r="B41" i="2"/>
  <c r="H81" i="2"/>
  <c r="I81" i="2"/>
  <c r="J81" i="2"/>
  <c r="H82" i="2"/>
  <c r="I82" i="2"/>
  <c r="J82" i="2"/>
  <c r="F81" i="2"/>
  <c r="G81" i="2"/>
  <c r="F82" i="2"/>
  <c r="G82" i="2"/>
  <c r="AM31" i="2"/>
  <c r="AM32" i="2"/>
  <c r="AM33" i="2"/>
  <c r="AM34" i="2"/>
  <c r="AM35" i="2"/>
  <c r="AM36" i="2"/>
  <c r="AM37" i="2"/>
  <c r="AM38" i="2"/>
  <c r="AM39" i="2"/>
  <c r="AL31" i="2"/>
  <c r="AL32" i="2"/>
  <c r="AL33" i="2"/>
  <c r="AL34" i="2"/>
  <c r="AL35" i="2"/>
  <c r="AL36" i="2"/>
  <c r="AL37" i="2"/>
  <c r="AL38" i="2"/>
  <c r="AL39" i="2"/>
  <c r="P49" i="1" l="1"/>
  <c r="G49" i="1"/>
  <c r="E49" i="1"/>
  <c r="P48" i="1"/>
  <c r="G48" i="1"/>
  <c r="E48" i="1"/>
  <c r="P47" i="1"/>
  <c r="G47" i="1"/>
  <c r="E47" i="1"/>
  <c r="P46" i="1"/>
  <c r="G46" i="1"/>
  <c r="E46" i="1"/>
  <c r="P45" i="1"/>
  <c r="G45" i="1"/>
  <c r="E45" i="1"/>
  <c r="P44" i="1"/>
  <c r="G44" i="1"/>
  <c r="E44" i="1"/>
  <c r="P43" i="1"/>
  <c r="G43" i="1"/>
  <c r="E43" i="1"/>
  <c r="P42" i="1"/>
  <c r="G42" i="1"/>
  <c r="E42" i="1"/>
  <c r="A42" i="1"/>
  <c r="A43" i="1" s="1"/>
  <c r="A44" i="1" s="1"/>
  <c r="A45" i="1" s="1"/>
  <c r="A46" i="1" s="1"/>
  <c r="A47" i="1" s="1"/>
  <c r="A48" i="1" s="1"/>
  <c r="A49" i="1" s="1"/>
  <c r="P41" i="1"/>
  <c r="G41" i="1"/>
  <c r="E41" i="1"/>
  <c r="E81" i="2"/>
  <c r="D81" i="2"/>
  <c r="C81" i="2"/>
  <c r="B81" i="2"/>
  <c r="A81" i="2"/>
  <c r="E82" i="2"/>
  <c r="D82" i="2"/>
  <c r="C82" i="2"/>
  <c r="B82" i="2"/>
  <c r="A82" i="2"/>
  <c r="AI33" i="2"/>
  <c r="AJ33" i="2"/>
  <c r="AJ35" i="2"/>
  <c r="AK35" i="2"/>
  <c r="AK36" i="2"/>
  <c r="AI39" i="2"/>
  <c r="AJ39" i="2"/>
  <c r="A68" i="2"/>
  <c r="B68" i="2"/>
  <c r="C68" i="2"/>
  <c r="D68" i="2"/>
  <c r="E68" i="2"/>
  <c r="F68" i="2"/>
  <c r="A69" i="2"/>
  <c r="B69" i="2"/>
  <c r="C69" i="2"/>
  <c r="D69" i="2"/>
  <c r="E69" i="2"/>
  <c r="F69" i="2"/>
  <c r="AC31" i="2"/>
  <c r="AD31" i="2"/>
  <c r="AE31" i="2"/>
  <c r="AC32" i="2"/>
  <c r="AD32" i="2"/>
  <c r="AE32" i="2"/>
  <c r="AC33" i="2"/>
  <c r="AD33" i="2"/>
  <c r="AE33" i="2"/>
  <c r="AC34" i="2"/>
  <c r="AD34" i="2"/>
  <c r="AE34" i="2"/>
  <c r="AC35" i="2"/>
  <c r="AD35" i="2"/>
  <c r="AE35" i="2"/>
  <c r="AC36" i="2"/>
  <c r="AD36" i="2"/>
  <c r="AE36" i="2"/>
  <c r="AC37" i="2"/>
  <c r="AD37" i="2"/>
  <c r="AE37" i="2"/>
  <c r="AC38" i="2"/>
  <c r="AD38" i="2"/>
  <c r="AE38" i="2"/>
  <c r="AC39" i="2"/>
  <c r="AD39" i="2"/>
  <c r="AE39" i="2"/>
  <c r="A45" i="2"/>
  <c r="A46" i="2" s="1"/>
  <c r="A47" i="2" s="1"/>
  <c r="A48" i="2" s="1"/>
  <c r="A49" i="2" s="1"/>
  <c r="A50" i="2" s="1"/>
  <c r="A51" i="2" s="1"/>
  <c r="A52" i="2" s="1"/>
  <c r="L32" i="2"/>
  <c r="M32" i="2"/>
  <c r="N32" i="2"/>
  <c r="O32" i="2"/>
  <c r="AJ32" i="2" s="1"/>
  <c r="P32" i="2"/>
  <c r="AK32" i="2" s="1"/>
  <c r="Q32" i="2"/>
  <c r="K33" i="2"/>
  <c r="L33" i="2"/>
  <c r="AG33" i="2" s="1"/>
  <c r="M33" i="2"/>
  <c r="N33" i="2"/>
  <c r="O33" i="2"/>
  <c r="P33" i="2"/>
  <c r="AK33" i="2" s="1"/>
  <c r="Q33" i="2"/>
  <c r="K34" i="2"/>
  <c r="L34" i="2"/>
  <c r="M34" i="2"/>
  <c r="AH34" i="2" s="1"/>
  <c r="N34" i="2"/>
  <c r="AI34" i="2" s="1"/>
  <c r="O34" i="2"/>
  <c r="AJ34" i="2" s="1"/>
  <c r="P34" i="2"/>
  <c r="Q34" i="2"/>
  <c r="K35" i="2"/>
  <c r="L35" i="2"/>
  <c r="T35" i="2" s="1"/>
  <c r="M35" i="2"/>
  <c r="N35" i="2"/>
  <c r="AI35" i="2" s="1"/>
  <c r="O35" i="2"/>
  <c r="P35" i="2"/>
  <c r="Q35" i="2"/>
  <c r="K36" i="2"/>
  <c r="L36" i="2"/>
  <c r="M36" i="2"/>
  <c r="N36" i="2"/>
  <c r="O36" i="2"/>
  <c r="AJ36" i="2" s="1"/>
  <c r="P36" i="2"/>
  <c r="Q36" i="2"/>
  <c r="K37" i="2"/>
  <c r="L37" i="2"/>
  <c r="M37" i="2"/>
  <c r="N37" i="2"/>
  <c r="O37" i="2"/>
  <c r="P37" i="2"/>
  <c r="AK37" i="2" s="1"/>
  <c r="Q37" i="2"/>
  <c r="K38" i="2"/>
  <c r="L38" i="2"/>
  <c r="M38" i="2"/>
  <c r="N38" i="2"/>
  <c r="O38" i="2"/>
  <c r="P38" i="2"/>
  <c r="Q38" i="2"/>
  <c r="K39" i="2"/>
  <c r="L39" i="2"/>
  <c r="M39" i="2"/>
  <c r="N39" i="2"/>
  <c r="O39" i="2"/>
  <c r="P39" i="2"/>
  <c r="Q39" i="2"/>
  <c r="L31" i="2"/>
  <c r="M31" i="2"/>
  <c r="N31" i="2"/>
  <c r="O31" i="2"/>
  <c r="P31" i="2"/>
  <c r="Q31" i="2"/>
  <c r="J31" i="2"/>
  <c r="H45" i="2"/>
  <c r="H46" i="2"/>
  <c r="H47" i="2"/>
  <c r="H48" i="2"/>
  <c r="H49" i="2"/>
  <c r="H50" i="2"/>
  <c r="H51" i="2"/>
  <c r="H52" i="2"/>
  <c r="B44" i="2"/>
  <c r="C41" i="2"/>
  <c r="D41" i="2"/>
  <c r="E41" i="2"/>
  <c r="F41" i="2"/>
  <c r="G41" i="2"/>
  <c r="H41" i="2"/>
  <c r="A32" i="2"/>
  <c r="A33" i="2" s="1"/>
  <c r="A34" i="2" s="1"/>
  <c r="A35" i="2" s="1"/>
  <c r="A36" i="2" s="1"/>
  <c r="A37" i="2" s="1"/>
  <c r="A38" i="2" s="1"/>
  <c r="A39" i="2" s="1"/>
  <c r="J39" i="2" s="1"/>
  <c r="B32" i="2"/>
  <c r="K32" i="2" s="1"/>
  <c r="B31" i="2"/>
  <c r="K31" i="2" s="1"/>
  <c r="B34" i="1"/>
  <c r="C34" i="1"/>
  <c r="D34" i="1"/>
  <c r="E34" i="1"/>
  <c r="F34" i="1"/>
  <c r="G34" i="1"/>
  <c r="H34" i="1"/>
  <c r="I34" i="1"/>
  <c r="J34" i="1"/>
  <c r="B5" i="2"/>
  <c r="B32" i="1" s="1"/>
  <c r="C5" i="2"/>
  <c r="C32" i="1" s="1"/>
  <c r="D33" i="1"/>
  <c r="E33" i="1"/>
  <c r="F33" i="1"/>
  <c r="G33" i="1"/>
  <c r="H33" i="1"/>
  <c r="I33" i="1"/>
  <c r="J33" i="1"/>
  <c r="J29" i="1"/>
  <c r="B27" i="1"/>
  <c r="C27" i="1"/>
  <c r="D27" i="1"/>
  <c r="E27" i="1"/>
  <c r="F27" i="1"/>
  <c r="G27" i="1"/>
  <c r="H27" i="1"/>
  <c r="I27" i="1"/>
  <c r="J27" i="1"/>
  <c r="E20" i="2"/>
  <c r="B47" i="2" s="1"/>
  <c r="F20" i="2"/>
  <c r="B48" i="2" s="1"/>
  <c r="G20" i="2"/>
  <c r="B49" i="2" s="1"/>
  <c r="H20" i="2"/>
  <c r="B50" i="2" s="1"/>
  <c r="I20" i="2"/>
  <c r="B51" i="2" s="1"/>
  <c r="J20" i="2"/>
  <c r="B52" i="2" s="1"/>
  <c r="C26" i="2"/>
  <c r="D26" i="2"/>
  <c r="E26" i="2"/>
  <c r="F26" i="2"/>
  <c r="G26" i="2"/>
  <c r="H26" i="2"/>
  <c r="I26" i="2"/>
  <c r="J26" i="2"/>
  <c r="B23" i="1"/>
  <c r="C23" i="1"/>
  <c r="D23" i="1"/>
  <c r="E23" i="1"/>
  <c r="F23" i="1"/>
  <c r="G23" i="1"/>
  <c r="H23" i="1"/>
  <c r="I23" i="1"/>
  <c r="J23" i="1"/>
  <c r="B22" i="1"/>
  <c r="C22" i="1"/>
  <c r="D22" i="1"/>
  <c r="E22" i="1"/>
  <c r="F22" i="1"/>
  <c r="G22" i="1"/>
  <c r="H22" i="1"/>
  <c r="I22" i="1"/>
  <c r="J22" i="1"/>
  <c r="C21" i="1"/>
  <c r="D21" i="1"/>
  <c r="E21" i="1"/>
  <c r="F21" i="1"/>
  <c r="G21" i="1"/>
  <c r="H21" i="1"/>
  <c r="I21" i="1"/>
  <c r="J21" i="1"/>
  <c r="B21" i="1"/>
  <c r="AK34" i="2" l="1"/>
  <c r="AI32" i="2"/>
  <c r="AK38" i="2"/>
  <c r="AI36" i="2"/>
  <c r="AK39" i="2"/>
  <c r="AI37" i="2"/>
  <c r="AI38" i="2"/>
  <c r="AH32" i="2"/>
  <c r="AJ37" i="2"/>
  <c r="AJ38" i="2"/>
  <c r="AH38" i="2"/>
  <c r="U36" i="2"/>
  <c r="AG37" i="2"/>
  <c r="AH37" i="2"/>
  <c r="AH39" i="2"/>
  <c r="AG38" i="2"/>
  <c r="AH33" i="2"/>
  <c r="AH35" i="2"/>
  <c r="AG36" i="2"/>
  <c r="AH36" i="2"/>
  <c r="AG34" i="2"/>
  <c r="AG39" i="2"/>
  <c r="AG32" i="2"/>
  <c r="AG35" i="2"/>
  <c r="U33" i="2"/>
  <c r="Y34" i="2"/>
  <c r="R37" i="2"/>
  <c r="Y36" i="2"/>
  <c r="X36" i="2"/>
  <c r="W36" i="2"/>
  <c r="R36" i="2"/>
  <c r="W35" i="2"/>
  <c r="T32" i="2"/>
  <c r="T33" i="2"/>
  <c r="X38" i="2"/>
  <c r="W38" i="2"/>
  <c r="R34" i="2"/>
  <c r="R39" i="2"/>
  <c r="U38" i="2"/>
  <c r="X33" i="2"/>
  <c r="Y37" i="2"/>
  <c r="W33" i="2"/>
  <c r="Y38" i="2"/>
  <c r="Y39" i="2"/>
  <c r="X37" i="2"/>
  <c r="X39" i="2"/>
  <c r="U37" i="2"/>
  <c r="W32" i="2"/>
  <c r="U39" i="2"/>
  <c r="R38" i="2"/>
  <c r="V33" i="2"/>
  <c r="V34" i="2"/>
  <c r="V39" i="2"/>
  <c r="V38" i="2"/>
  <c r="V37" i="2"/>
  <c r="V36" i="2"/>
  <c r="U35" i="2"/>
  <c r="T34" i="2"/>
  <c r="R33" i="2"/>
  <c r="T39" i="2"/>
  <c r="T38" i="2"/>
  <c r="T36" i="2"/>
  <c r="R35" i="2"/>
  <c r="Y33" i="2"/>
  <c r="W34" i="2"/>
  <c r="J38" i="2"/>
  <c r="J37" i="2"/>
  <c r="Y35" i="2"/>
  <c r="X34" i="2"/>
  <c r="X35" i="2"/>
  <c r="T37" i="2"/>
  <c r="Y32" i="2"/>
  <c r="W39" i="2"/>
  <c r="W37" i="2"/>
  <c r="V35" i="2"/>
  <c r="U34" i="2"/>
  <c r="W31" i="2"/>
  <c r="X32" i="2"/>
  <c r="V31" i="2"/>
  <c r="X31" i="2"/>
  <c r="U31" i="2"/>
  <c r="U32" i="2"/>
  <c r="R32" i="2"/>
  <c r="T31" i="2"/>
  <c r="V32" i="2"/>
  <c r="J36" i="2"/>
  <c r="J35" i="2"/>
  <c r="J34" i="2"/>
  <c r="J33" i="2"/>
  <c r="J32" i="2"/>
  <c r="J5" i="2"/>
  <c r="J32" i="1" s="1"/>
  <c r="J35" i="1" s="1"/>
  <c r="AF39" i="2" s="1"/>
  <c r="I5" i="2"/>
  <c r="I32" i="1" s="1"/>
  <c r="I35" i="1" s="1"/>
  <c r="AF38" i="2" s="1"/>
  <c r="H5" i="2"/>
  <c r="H32" i="1" s="1"/>
  <c r="H35" i="1" s="1"/>
  <c r="AF37" i="2" s="1"/>
  <c r="I17" i="1"/>
  <c r="H17" i="1"/>
  <c r="I8" i="1"/>
  <c r="H8" i="1"/>
  <c r="G5" i="2" l="1"/>
  <c r="F5" i="2"/>
  <c r="F32" i="1" s="1"/>
  <c r="F35" i="1" s="1"/>
  <c r="AF35" i="2" s="1"/>
  <c r="E5" i="2"/>
  <c r="D5" i="2"/>
  <c r="B8" i="2"/>
  <c r="C4" i="2"/>
  <c r="B4" i="2"/>
  <c r="H6" i="2"/>
  <c r="I6" i="2"/>
  <c r="J6" i="2"/>
  <c r="B2" i="2"/>
  <c r="C2" i="2"/>
  <c r="A2" i="2"/>
  <c r="C17" i="1"/>
  <c r="D17" i="1"/>
  <c r="E17" i="1"/>
  <c r="F17" i="1"/>
  <c r="G17" i="1"/>
  <c r="J17" i="1"/>
  <c r="B17" i="1"/>
  <c r="C8" i="1"/>
  <c r="D8" i="1"/>
  <c r="E8" i="1"/>
  <c r="F8" i="1"/>
  <c r="G8" i="1"/>
  <c r="J8" i="1"/>
  <c r="B8" i="1"/>
  <c r="B6" i="1"/>
  <c r="C6" i="1"/>
  <c r="D6" i="1"/>
  <c r="E6" i="1"/>
  <c r="F6" i="1"/>
  <c r="G6" i="1"/>
  <c r="H6" i="1"/>
  <c r="I6" i="1"/>
  <c r="J6" i="1"/>
  <c r="C2" i="1"/>
  <c r="D2" i="1" s="1"/>
  <c r="F6" i="2" l="1"/>
  <c r="F10" i="2" s="1"/>
  <c r="G6" i="2"/>
  <c r="G32" i="1"/>
  <c r="G35" i="1" s="1"/>
  <c r="AF36" i="2" s="1"/>
  <c r="C6" i="2"/>
  <c r="D20" i="2"/>
  <c r="B46" i="2" s="1"/>
  <c r="C33" i="1"/>
  <c r="C35" i="1" s="1"/>
  <c r="AF32" i="2" s="1"/>
  <c r="C20" i="2"/>
  <c r="B45" i="2" s="1"/>
  <c r="D6" i="2"/>
  <c r="D32" i="1"/>
  <c r="D35" i="1" s="1"/>
  <c r="AF33" i="2" s="1"/>
  <c r="B6" i="2"/>
  <c r="B22" i="2" s="1"/>
  <c r="D44" i="2" s="1"/>
  <c r="B33" i="1"/>
  <c r="J10" i="2"/>
  <c r="J22" i="2"/>
  <c r="D52" i="2" s="1"/>
  <c r="I10" i="2"/>
  <c r="I22" i="2"/>
  <c r="D51" i="2" s="1"/>
  <c r="H22" i="2"/>
  <c r="D50" i="2" s="1"/>
  <c r="H10" i="2"/>
  <c r="H23" i="2" s="1"/>
  <c r="E50" i="2" s="1"/>
  <c r="E6" i="2"/>
  <c r="E32" i="1"/>
  <c r="E35" i="1" s="1"/>
  <c r="AF34" i="2" s="1"/>
  <c r="D2" i="2"/>
  <c r="E2" i="1"/>
  <c r="F22" i="2" l="1"/>
  <c r="D48" i="2" s="1"/>
  <c r="H12" i="2"/>
  <c r="H14" i="2" s="1"/>
  <c r="H16" i="2" s="1"/>
  <c r="H25" i="2" s="1"/>
  <c r="G50" i="2" s="1"/>
  <c r="B10" i="2"/>
  <c r="B23" i="2" s="1"/>
  <c r="E44" i="2" s="1"/>
  <c r="B35" i="1"/>
  <c r="AF31" i="2"/>
  <c r="F12" i="2"/>
  <c r="F23" i="2"/>
  <c r="E48" i="2" s="1"/>
  <c r="I12" i="2"/>
  <c r="I23" i="2"/>
  <c r="E51" i="2" s="1"/>
  <c r="D10" i="2"/>
  <c r="D22" i="2"/>
  <c r="D46" i="2" s="1"/>
  <c r="J12" i="2"/>
  <c r="J23" i="2"/>
  <c r="E52" i="2" s="1"/>
  <c r="E10" i="2"/>
  <c r="E22" i="2"/>
  <c r="D47" i="2" s="1"/>
  <c r="C22" i="2"/>
  <c r="D45" i="2" s="1"/>
  <c r="C10" i="2"/>
  <c r="G10" i="2"/>
  <c r="G22" i="2"/>
  <c r="D49" i="2" s="1"/>
  <c r="E2" i="2"/>
  <c r="F2" i="1"/>
  <c r="B12" i="2" l="1"/>
  <c r="B21" i="2" s="1"/>
  <c r="C44" i="2" s="1"/>
  <c r="S31" i="2" s="1"/>
  <c r="H21" i="2"/>
  <c r="C50" i="2" s="1"/>
  <c r="S37" i="2" s="1"/>
  <c r="H24" i="2"/>
  <c r="F50" i="2" s="1"/>
  <c r="F14" i="2"/>
  <c r="F16" i="2" s="1"/>
  <c r="F25" i="2" s="1"/>
  <c r="G48" i="2" s="1"/>
  <c r="F24" i="2"/>
  <c r="F48" i="2" s="1"/>
  <c r="F21" i="2"/>
  <c r="C48" i="2" s="1"/>
  <c r="S35" i="2" s="1"/>
  <c r="J14" i="2"/>
  <c r="J16" i="2" s="1"/>
  <c r="J25" i="2" s="1"/>
  <c r="G52" i="2" s="1"/>
  <c r="J24" i="2"/>
  <c r="F52" i="2" s="1"/>
  <c r="J21" i="2"/>
  <c r="C52" i="2" s="1"/>
  <c r="S39" i="2" s="1"/>
  <c r="I14" i="2"/>
  <c r="I16" i="2" s="1"/>
  <c r="I25" i="2" s="1"/>
  <c r="G51" i="2" s="1"/>
  <c r="I21" i="2"/>
  <c r="C51" i="2" s="1"/>
  <c r="S38" i="2" s="1"/>
  <c r="I24" i="2"/>
  <c r="F51" i="2" s="1"/>
  <c r="E12" i="2"/>
  <c r="E23" i="2"/>
  <c r="E47" i="2" s="1"/>
  <c r="G12" i="2"/>
  <c r="G23" i="2"/>
  <c r="E49" i="2" s="1"/>
  <c r="D12" i="2"/>
  <c r="D23" i="2"/>
  <c r="E46" i="2" s="1"/>
  <c r="C12" i="2"/>
  <c r="C23" i="2"/>
  <c r="E45" i="2" s="1"/>
  <c r="G2" i="1"/>
  <c r="F2" i="2"/>
  <c r="B14" i="2" l="1"/>
  <c r="B16" i="2" s="1"/>
  <c r="B25" i="2" s="1"/>
  <c r="G44" i="2" s="1"/>
  <c r="B24" i="2"/>
  <c r="F44" i="2" s="1"/>
  <c r="G14" i="2"/>
  <c r="G16" i="2" s="1"/>
  <c r="G25" i="2" s="1"/>
  <c r="G49" i="2" s="1"/>
  <c r="G21" i="2"/>
  <c r="C49" i="2" s="1"/>
  <c r="S36" i="2" s="1"/>
  <c r="G24" i="2"/>
  <c r="F49" i="2" s="1"/>
  <c r="E24" i="2"/>
  <c r="F47" i="2" s="1"/>
  <c r="E21" i="2"/>
  <c r="C47" i="2" s="1"/>
  <c r="S34" i="2" s="1"/>
  <c r="E14" i="2"/>
  <c r="E16" i="2" s="1"/>
  <c r="E25" i="2" s="1"/>
  <c r="G47" i="2" s="1"/>
  <c r="C14" i="2"/>
  <c r="C16" i="2" s="1"/>
  <c r="C25" i="2" s="1"/>
  <c r="G45" i="2" s="1"/>
  <c r="C21" i="2"/>
  <c r="C45" i="2" s="1"/>
  <c r="S32" i="2" s="1"/>
  <c r="C24" i="2"/>
  <c r="F45" i="2" s="1"/>
  <c r="D14" i="2"/>
  <c r="D16" i="2" s="1"/>
  <c r="D25" i="2" s="1"/>
  <c r="G46" i="2" s="1"/>
  <c r="D24" i="2"/>
  <c r="F46" i="2" s="1"/>
  <c r="D21" i="2"/>
  <c r="C46" i="2" s="1"/>
  <c r="S33" i="2" s="1"/>
  <c r="H2" i="1"/>
  <c r="G2" i="2"/>
  <c r="I2" i="1" l="1"/>
  <c r="H2" i="2"/>
  <c r="J2" i="1" l="1"/>
  <c r="J2" i="2" s="1"/>
  <c r="I2" i="2"/>
</calcChain>
</file>

<file path=xl/sharedStrings.xml><?xml version="1.0" encoding="utf-8"?>
<sst xmlns="http://schemas.openxmlformats.org/spreadsheetml/2006/main" count="173" uniqueCount="111">
  <si>
    <t>FY17</t>
  </si>
  <si>
    <t>Year</t>
  </si>
  <si>
    <t>Inventories</t>
  </si>
  <si>
    <t>Other Current Assets</t>
  </si>
  <si>
    <t>Total Assets</t>
  </si>
  <si>
    <t>Total equity</t>
  </si>
  <si>
    <t>Financial Liabilities</t>
  </si>
  <si>
    <t>Borrowings</t>
  </si>
  <si>
    <t>Non-Current Liabilities</t>
  </si>
  <si>
    <t>Total Non-Current Liabilities</t>
  </si>
  <si>
    <t>Total Current Assets</t>
  </si>
  <si>
    <t>Total Non-Current Assets</t>
  </si>
  <si>
    <t>Total Current Liabilities</t>
  </si>
  <si>
    <t>Total Equity + Liabilities</t>
  </si>
  <si>
    <t>Revenue</t>
  </si>
  <si>
    <t>COGS</t>
  </si>
  <si>
    <t>GP</t>
  </si>
  <si>
    <t>Operating Expenses</t>
  </si>
  <si>
    <t>Finance Cost</t>
  </si>
  <si>
    <t>D&amp;A</t>
  </si>
  <si>
    <t>Other Exp</t>
  </si>
  <si>
    <t>EBITDA</t>
  </si>
  <si>
    <t>EBIT</t>
  </si>
  <si>
    <t>Other Income</t>
  </si>
  <si>
    <t>EBT</t>
  </si>
  <si>
    <t>Tax</t>
  </si>
  <si>
    <t>PAT</t>
  </si>
  <si>
    <t>EPS (Basic) (₹/share)</t>
  </si>
  <si>
    <t>CFO</t>
  </si>
  <si>
    <t>CFI</t>
  </si>
  <si>
    <t>CFF</t>
  </si>
  <si>
    <t>Net Change</t>
  </si>
  <si>
    <t>Lease Liabilities</t>
  </si>
  <si>
    <t>Current Ratio</t>
  </si>
  <si>
    <t>Quick Ratio</t>
  </si>
  <si>
    <t>Gearing Ratio (D/E)</t>
  </si>
  <si>
    <t>Interest Cover</t>
  </si>
  <si>
    <t>Gross Profit Margin %</t>
  </si>
  <si>
    <t>EBITDA Margin %</t>
  </si>
  <si>
    <t>EBIT Margin %</t>
  </si>
  <si>
    <t>PAT Margin %</t>
  </si>
  <si>
    <t>Revenue Growth %</t>
  </si>
  <si>
    <t>EPS Growth %</t>
  </si>
  <si>
    <t>CAGR (5Y)</t>
  </si>
  <si>
    <t>Inventory</t>
  </si>
  <si>
    <t>TR</t>
  </si>
  <si>
    <t>TP</t>
  </si>
  <si>
    <t>Inventory days</t>
  </si>
  <si>
    <t>TR days</t>
  </si>
  <si>
    <t>TP days</t>
  </si>
  <si>
    <t>Cost Of Materials Consumed</t>
  </si>
  <si>
    <t>Working Capital Cycle</t>
  </si>
  <si>
    <t>FY18</t>
  </si>
  <si>
    <t>FY19</t>
  </si>
  <si>
    <t>FY20</t>
  </si>
  <si>
    <t>FY21</t>
  </si>
  <si>
    <t>FY22</t>
  </si>
  <si>
    <t>FY23</t>
  </si>
  <si>
    <t>FY24</t>
  </si>
  <si>
    <t>FY25</t>
  </si>
  <si>
    <t xml:space="preserve">CFO </t>
  </si>
  <si>
    <t xml:space="preserve">CFI </t>
  </si>
  <si>
    <t xml:space="preserve">CFF </t>
  </si>
  <si>
    <t>in ₹ million</t>
  </si>
  <si>
    <t xml:space="preserve">Revenue </t>
  </si>
  <si>
    <t xml:space="preserve">EBITDA </t>
  </si>
  <si>
    <t xml:space="preserve">EBIT </t>
  </si>
  <si>
    <t xml:space="preserve">EBT </t>
  </si>
  <si>
    <t xml:space="preserve">PAT </t>
  </si>
  <si>
    <t>Gross Profit</t>
  </si>
  <si>
    <t>Gross profit</t>
  </si>
  <si>
    <t>Revenue Growth</t>
  </si>
  <si>
    <t>EBT Margin %</t>
  </si>
  <si>
    <t xml:space="preserve">Gross profit </t>
  </si>
  <si>
    <t xml:space="preserve">Revenue Growth </t>
  </si>
  <si>
    <t xml:space="preserve">EPS Growth % </t>
  </si>
  <si>
    <t xml:space="preserve">Interest Cover </t>
  </si>
  <si>
    <t xml:space="preserve">Gross Profit Margin % </t>
  </si>
  <si>
    <t xml:space="preserve">EBITDA Margin % </t>
  </si>
  <si>
    <t xml:space="preserve">EBIT Margin % </t>
  </si>
  <si>
    <t xml:space="preserve">EBT Margin % </t>
  </si>
  <si>
    <t xml:space="preserve">PAT Margin % </t>
  </si>
  <si>
    <t>GP GROWTH</t>
  </si>
  <si>
    <t xml:space="preserve">GP GROWTH </t>
  </si>
  <si>
    <t xml:space="preserve"> GP GROWTH</t>
  </si>
  <si>
    <t>EBITDA GROWTH</t>
  </si>
  <si>
    <t xml:space="preserve"> EBITDA GROWTH</t>
  </si>
  <si>
    <t xml:space="preserve">Working Capital Cycle </t>
  </si>
  <si>
    <t>EBIT GROWTH</t>
  </si>
  <si>
    <t>EBT GROWTH</t>
  </si>
  <si>
    <t>PAT GROWTH</t>
  </si>
  <si>
    <t xml:space="preserve"> EBIT GROWTH</t>
  </si>
  <si>
    <t xml:space="preserve"> EBT GROWTH</t>
  </si>
  <si>
    <t xml:space="preserve"> PAT GROWTH</t>
  </si>
  <si>
    <t xml:space="preserve"> Gearing Ratio (D/E)</t>
  </si>
  <si>
    <t xml:space="preserve"> Gross Profit Margin %</t>
  </si>
  <si>
    <t xml:space="preserve"> EBITDA Margin %</t>
  </si>
  <si>
    <t xml:space="preserve"> EBIT Margin %</t>
  </si>
  <si>
    <t xml:space="preserve"> PAT Margin %</t>
  </si>
  <si>
    <t xml:space="preserve"> EBT Margin %</t>
  </si>
  <si>
    <t xml:space="preserve"> Current Ratio</t>
  </si>
  <si>
    <t xml:space="preserve"> Quick Ratio</t>
  </si>
  <si>
    <t xml:space="preserve"> EPS (Basic) (₹/share)</t>
  </si>
  <si>
    <t>ROCE %</t>
  </si>
  <si>
    <t>ROE %</t>
  </si>
  <si>
    <t xml:space="preserve"> ROCE %</t>
  </si>
  <si>
    <t xml:space="preserve"> ROE %</t>
  </si>
  <si>
    <t xml:space="preserve"> CFO</t>
  </si>
  <si>
    <t xml:space="preserve"> CFI</t>
  </si>
  <si>
    <t xml:space="preserve"> CFF</t>
  </si>
  <si>
    <t>CAGR (3Y)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</si>
</sst>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43" formatCode="_ * #,##0.00_ ;_ * \-#,##0.00_ ;_ * &quot;-&quot;??_ ;_ @_ "/>
    <numFmt numFmtId="164" formatCode="&quot;FY&quot;0"/>
    <numFmt numFmtId="165" formatCode="0.00&quot;x&quot;"/>
    <numFmt numFmtId="166" formatCode="0.00\ &quot;days&quot;"/>
    <numFmt numFmtId="167" formatCode="\+0.00%;\-0.00%;\-"/>
    <numFmt numFmtId="168" formatCode="&quot;₹&quot;\ ##,#00&quot;M&quot;\ "/>
    <numFmt numFmtId="169" formatCode="&quot;₹&quot;\ #,##0&quot;M&quot;"/>
    <numFmt numFmtId="170" formatCode="&quot;₹&quot;\ #,#00&quot;M&quot;\ "/>
    <numFmt numFmtId="171" formatCode="\+0.00%;\-0.00%\,\-"/>
    <numFmt numFmtId="172" formatCode="&quot;&quot;"/>
    <numFmt numFmtId="173" formatCode="&quot;~&quot;0\ &quot;days&quot;"/>
    <numFmt numFmtId="174" formatCode="\+0.00%;&quot;&quot;;\-\-"/>
    <numFmt numFmtId="175" formatCode="&quot;&quot;;\-0.00%;&quot;&quot;"/>
    <numFmt numFmtId="176" formatCode="&quot;₹&quot;\ 0.00"/>
    <numFmt numFmtId="177" formatCode="&quot;₹&quot;\ 0.00&quot;M&quot;;\(&quot;₹&quot;\ 0.00&quot;M&quot;\);\-"/>
  </numFmts>
  <fonts count="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
      <b/>
      <sz val="11"/>
      <color theme="3" tint="0.39997558519241921"/>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4"/>
        <bgColor theme="4"/>
      </patternFill>
    </fill>
  </fills>
  <borders count="8">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68">
    <xf numFmtId="0" fontId="0" fillId="0" borderId="0" xfId="0"/>
    <xf numFmtId="0" fontId="3" fillId="0" borderId="0" xfId="0" applyFont="1"/>
    <xf numFmtId="164" fontId="3" fillId="0" borderId="0" xfId="0" applyNumberFormat="1" applyFont="1"/>
    <xf numFmtId="43" fontId="0" fillId="0" borderId="0" xfId="1" applyFont="1"/>
    <xf numFmtId="2" fontId="0" fillId="0" borderId="0" xfId="0" applyNumberFormat="1"/>
    <xf numFmtId="10" fontId="3" fillId="0" borderId="0" xfId="2" applyNumberFormat="1" applyFont="1"/>
    <xf numFmtId="43" fontId="3" fillId="2" borderId="0" xfId="1" applyFont="1" applyFill="1"/>
    <xf numFmtId="43" fontId="0" fillId="0" borderId="0" xfId="0" applyNumberFormat="1"/>
    <xf numFmtId="166" fontId="0" fillId="0" borderId="0" xfId="0" applyNumberFormat="1"/>
    <xf numFmtId="166" fontId="3" fillId="0" borderId="0" xfId="1" applyNumberFormat="1" applyFont="1"/>
    <xf numFmtId="165" fontId="0" fillId="0" borderId="0" xfId="2" applyNumberFormat="1" applyFont="1"/>
    <xf numFmtId="0" fontId="0" fillId="0" borderId="0" xfId="0" pivotButton="1"/>
    <xf numFmtId="0" fontId="2" fillId="3" borderId="1" xfId="0" applyFont="1" applyFill="1" applyBorder="1"/>
    <xf numFmtId="164" fontId="2" fillId="3" borderId="2" xfId="0" applyNumberFormat="1" applyFont="1" applyFill="1" applyBorder="1"/>
    <xf numFmtId="164" fontId="2" fillId="3" borderId="3" xfId="0" applyNumberFormat="1" applyFont="1" applyFill="1" applyBorder="1"/>
    <xf numFmtId="167" fontId="3" fillId="0" borderId="0" xfId="2" applyNumberFormat="1" applyFont="1"/>
    <xf numFmtId="43" fontId="3" fillId="0" borderId="0" xfId="1" applyFont="1" applyFill="1"/>
    <xf numFmtId="165" fontId="3" fillId="0" borderId="0" xfId="0" applyNumberFormat="1" applyFont="1"/>
    <xf numFmtId="164" fontId="0" fillId="0" borderId="0" xfId="0" applyNumberFormat="1" applyAlignment="1">
      <alignment horizontal="left"/>
    </xf>
    <xf numFmtId="0" fontId="3" fillId="0" borderId="4" xfId="0" applyFont="1" applyBorder="1"/>
    <xf numFmtId="170" fontId="0" fillId="0" borderId="0" xfId="0" applyNumberFormat="1"/>
    <xf numFmtId="168" fontId="0" fillId="0" borderId="0" xfId="0" applyNumberFormat="1"/>
    <xf numFmtId="164" fontId="3" fillId="0" borderId="6" xfId="0" applyNumberFormat="1" applyFont="1" applyBorder="1"/>
    <xf numFmtId="43" fontId="3" fillId="0" borderId="5" xfId="1" applyFont="1" applyFill="1" applyBorder="1"/>
    <xf numFmtId="43" fontId="3" fillId="0" borderId="5" xfId="0" applyNumberFormat="1" applyFont="1" applyBorder="1"/>
    <xf numFmtId="43" fontId="3" fillId="0" borderId="7" xfId="1" applyFont="1" applyFill="1" applyBorder="1"/>
    <xf numFmtId="164" fontId="3" fillId="0" borderId="1" xfId="0" applyNumberFormat="1" applyFont="1" applyBorder="1"/>
    <xf numFmtId="43" fontId="3" fillId="0" borderId="2" xfId="1" applyFont="1" applyFill="1" applyBorder="1"/>
    <xf numFmtId="43" fontId="3" fillId="0" borderId="2" xfId="0" applyNumberFormat="1" applyFont="1" applyBorder="1"/>
    <xf numFmtId="43" fontId="3" fillId="0" borderId="3" xfId="1" applyFont="1" applyFill="1" applyBorder="1"/>
    <xf numFmtId="164" fontId="4" fillId="0" borderId="6" xfId="0" applyNumberFormat="1" applyFont="1" applyBorder="1"/>
    <xf numFmtId="0" fontId="4" fillId="0" borderId="5" xfId="0" applyFont="1" applyBorder="1"/>
    <xf numFmtId="0" fontId="4" fillId="0" borderId="7" xfId="0" applyFont="1" applyBorder="1"/>
    <xf numFmtId="167" fontId="3" fillId="0" borderId="5" xfId="2" applyNumberFormat="1" applyFont="1" applyFill="1" applyBorder="1"/>
    <xf numFmtId="165" fontId="3" fillId="0" borderId="5" xfId="0" applyNumberFormat="1" applyFont="1" applyBorder="1"/>
    <xf numFmtId="10" fontId="3" fillId="0" borderId="5" xfId="2" applyNumberFormat="1" applyFont="1" applyFill="1" applyBorder="1"/>
    <xf numFmtId="167" fontId="3" fillId="0" borderId="7" xfId="2" applyNumberFormat="1" applyFont="1" applyFill="1" applyBorder="1"/>
    <xf numFmtId="167" fontId="3" fillId="0" borderId="2" xfId="2" applyNumberFormat="1" applyFont="1" applyFill="1" applyBorder="1"/>
    <xf numFmtId="165" fontId="3" fillId="0" borderId="2" xfId="0" applyNumberFormat="1" applyFont="1" applyBorder="1"/>
    <xf numFmtId="10" fontId="3" fillId="0" borderId="2" xfId="2" applyNumberFormat="1" applyFont="1" applyFill="1" applyBorder="1"/>
    <xf numFmtId="167" fontId="3" fillId="0" borderId="3" xfId="2" applyNumberFormat="1" applyFont="1" applyFill="1" applyBorder="1"/>
    <xf numFmtId="169" fontId="0" fillId="0" borderId="0" xfId="1" applyNumberFormat="1" applyFont="1"/>
    <xf numFmtId="165" fontId="0" fillId="0" borderId="0" xfId="0" applyNumberFormat="1"/>
    <xf numFmtId="10" fontId="0" fillId="0" borderId="0" xfId="0" applyNumberFormat="1"/>
    <xf numFmtId="171" fontId="0" fillId="0" borderId="0" xfId="0" applyNumberFormat="1"/>
    <xf numFmtId="167" fontId="3" fillId="0" borderId="0" xfId="2" applyNumberFormat="1" applyFont="1" applyFill="1" applyBorder="1"/>
    <xf numFmtId="167" fontId="0" fillId="0" borderId="0" xfId="0" applyNumberFormat="1"/>
    <xf numFmtId="10" fontId="0" fillId="0" borderId="0" xfId="2" applyNumberFormat="1" applyFont="1"/>
    <xf numFmtId="173" fontId="0" fillId="0" borderId="0" xfId="0" applyNumberFormat="1"/>
    <xf numFmtId="43" fontId="0" fillId="0" borderId="0" xfId="1" applyFont="1" applyFill="1"/>
    <xf numFmtId="172" fontId="0" fillId="0" borderId="0" xfId="0" applyNumberFormat="1" applyAlignment="1">
      <alignment horizontal="right"/>
    </xf>
    <xf numFmtId="167" fontId="3" fillId="0" borderId="0" xfId="2" applyNumberFormat="1" applyFont="1" applyFill="1"/>
    <xf numFmtId="165" fontId="0" fillId="0" borderId="0" xfId="2" applyNumberFormat="1" applyFont="1" applyFill="1"/>
    <xf numFmtId="166" fontId="3" fillId="0" borderId="0" xfId="1" applyNumberFormat="1" applyFont="1" applyFill="1"/>
    <xf numFmtId="10" fontId="0" fillId="0" borderId="0" xfId="2" applyNumberFormat="1" applyFont="1" applyFill="1"/>
    <xf numFmtId="164" fontId="2" fillId="0" borderId="0" xfId="0" applyNumberFormat="1" applyFont="1"/>
    <xf numFmtId="0" fontId="2" fillId="0" borderId="0" xfId="0" applyFont="1"/>
    <xf numFmtId="174" fontId="3" fillId="0" borderId="0" xfId="0" applyNumberFormat="1" applyFont="1"/>
    <xf numFmtId="174" fontId="0" fillId="0" borderId="0" xfId="0" applyNumberFormat="1"/>
    <xf numFmtId="175" fontId="0" fillId="0" borderId="0" xfId="0" applyNumberFormat="1"/>
    <xf numFmtId="176" fontId="0" fillId="0" borderId="0" xfId="0" applyNumberFormat="1"/>
    <xf numFmtId="43" fontId="3" fillId="0" borderId="0" xfId="1" applyFont="1"/>
    <xf numFmtId="0" fontId="5" fillId="0" borderId="0" xfId="0" applyFont="1"/>
    <xf numFmtId="43" fontId="5" fillId="0" borderId="0" xfId="1" applyFont="1"/>
    <xf numFmtId="0" fontId="5" fillId="0" borderId="0" xfId="0" applyFont="1" applyAlignment="1">
      <alignment wrapText="1"/>
    </xf>
    <xf numFmtId="0" fontId="3" fillId="0" borderId="0" xfId="0" applyFont="1" applyAlignment="1">
      <alignment wrapText="1"/>
    </xf>
    <xf numFmtId="10" fontId="3" fillId="0" borderId="0" xfId="2" applyNumberFormat="1" applyFont="1" applyFill="1"/>
    <xf numFmtId="177" fontId="0" fillId="0" borderId="0" xfId="2" applyNumberFormat="1" applyFont="1"/>
  </cellXfs>
  <cellStyles count="3">
    <cellStyle name="Comma" xfId="1" builtinId="3"/>
    <cellStyle name="Normal" xfId="0" builtinId="0"/>
    <cellStyle name="Percent" xfId="2" builtinId="5"/>
  </cellStyles>
  <dxfs count="431">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numFmt numFmtId="175" formatCode="&quot;&quot;;\-0.00%;&quot;&quot;"/>
    </dxf>
    <dxf>
      <numFmt numFmtId="14" formatCode="0.00%"/>
    </dxf>
    <dxf>
      <numFmt numFmtId="171" formatCode="\+0.00%;\-0.00%\,\-"/>
    </dxf>
    <dxf>
      <font>
        <b/>
      </font>
    </dxf>
    <dxf>
      <numFmt numFmtId="173" formatCode="&quot;~&quot;0\ &quot;days&quot;"/>
    </dxf>
    <dxf>
      <numFmt numFmtId="174" formatCode="\+0.00%;&quot;&quot;;\-\-"/>
    </dxf>
    <dxf>
      <numFmt numFmtId="174" formatCode="\+0.00%;&quot;&quot;;\-\-"/>
    </dxf>
    <dxf>
      <numFmt numFmtId="174" formatCode="\+0.00%;&quot;&quot;;\-\-"/>
    </dxf>
    <dxf>
      <numFmt numFmtId="176" formatCode="&quot;₹&quot;\ 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numFmt numFmtId="164" formatCode="&quot;FY&quot;0"/>
      <fill>
        <patternFill patternType="solid">
          <fgColor theme="4"/>
          <bgColor theme="4"/>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4" formatCode="0.00%"/>
      <fill>
        <patternFill patternType="none">
          <fgColor indexed="64"/>
          <bgColor auto="1"/>
        </patternFill>
      </fill>
    </dxf>
    <dxf>
      <numFmt numFmtId="14" formatCode="0.00%"/>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1"/>
        <name val="Calibri"/>
        <family val="2"/>
        <scheme val="minor"/>
      </font>
      <numFmt numFmtId="166" formatCode="0.00\ &quot;days&quot;"/>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165" formatCode="0.00&quot;x&quot;"/>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i val="0"/>
        <strike val="0"/>
        <condense val="0"/>
        <extend val="0"/>
        <outline val="0"/>
        <shadow val="0"/>
        <u val="none"/>
        <vertAlign val="baseline"/>
        <sz val="11"/>
        <color theme="1"/>
        <name val="Calibri"/>
        <family val="2"/>
        <scheme val="minor"/>
      </font>
      <numFmt numFmtId="167" formatCode="\+0.00%;\-0.00%;\-"/>
      <fill>
        <patternFill patternType="none">
          <fgColor indexed="64"/>
          <bgColor auto="1"/>
        </patternFill>
      </fill>
    </dxf>
    <dxf>
      <font>
        <b/>
        <i val="0"/>
        <strike val="0"/>
        <condense val="0"/>
        <extend val="0"/>
        <outline val="0"/>
        <shadow val="0"/>
        <u val="none"/>
        <vertAlign val="baseline"/>
        <sz val="11"/>
        <color theme="1"/>
        <name val="Calibri"/>
        <family val="2"/>
        <scheme val="minor"/>
      </font>
      <numFmt numFmtId="14" formatCode="0.00%"/>
      <fill>
        <patternFill patternType="none">
          <fgColor indexed="64"/>
          <bgColor auto="1"/>
        </patternFill>
      </fill>
    </dxf>
    <dxf>
      <font>
        <b/>
        <i val="0"/>
        <strike val="0"/>
        <condense val="0"/>
        <extend val="0"/>
        <outline val="0"/>
        <shadow val="0"/>
        <u val="none"/>
        <vertAlign val="baseline"/>
        <sz val="11"/>
        <color theme="1"/>
        <name val="Calibri"/>
        <family val="2"/>
        <scheme val="minor"/>
      </font>
      <numFmt numFmtId="14" formatCode="0.00%"/>
      <fill>
        <patternFill patternType="none">
          <fgColor indexed="64"/>
          <bgColor auto="1"/>
        </patternFill>
      </fill>
    </dxf>
    <dxf>
      <font>
        <b/>
        <i val="0"/>
        <strike val="0"/>
        <condense val="0"/>
        <extend val="0"/>
        <outline val="0"/>
        <shadow val="0"/>
        <u val="none"/>
        <vertAlign val="baseline"/>
        <sz val="11"/>
        <color theme="1"/>
        <name val="Calibri"/>
        <family val="2"/>
        <scheme val="minor"/>
      </font>
      <numFmt numFmtId="14" formatCode="0.00%"/>
      <fill>
        <patternFill patternType="none">
          <fgColor indexed="64"/>
          <bgColor auto="1"/>
        </patternFill>
      </fill>
    </dxf>
    <dxf>
      <font>
        <b/>
        <i val="0"/>
        <strike val="0"/>
        <condense val="0"/>
        <extend val="0"/>
        <outline val="0"/>
        <shadow val="0"/>
        <u val="none"/>
        <vertAlign val="baseline"/>
        <sz val="11"/>
        <color theme="1"/>
        <name val="Calibri"/>
        <family val="2"/>
        <scheme val="minor"/>
      </font>
      <numFmt numFmtId="14" formatCode="0.00%"/>
      <fill>
        <patternFill patternType="none">
          <fgColor indexed="64"/>
          <bgColor auto="1"/>
        </patternFill>
      </fill>
    </dxf>
    <dxf>
      <font>
        <b/>
        <i val="0"/>
        <strike val="0"/>
        <condense val="0"/>
        <extend val="0"/>
        <outline val="0"/>
        <shadow val="0"/>
        <u val="none"/>
        <vertAlign val="baseline"/>
        <sz val="11"/>
        <color theme="1"/>
        <name val="Calibri"/>
        <family val="2"/>
        <scheme val="minor"/>
      </font>
      <numFmt numFmtId="14" formatCode="0.00%"/>
      <fill>
        <patternFill patternType="none">
          <fgColor indexed="64"/>
          <bgColor auto="1"/>
        </patternFill>
      </fill>
    </dxf>
    <dxf>
      <font>
        <b/>
        <i val="0"/>
        <strike val="0"/>
        <condense val="0"/>
        <extend val="0"/>
        <outline val="0"/>
        <shadow val="0"/>
        <u val="none"/>
        <vertAlign val="baseline"/>
        <sz val="11"/>
        <color theme="1"/>
        <name val="Calibri"/>
        <family val="2"/>
        <scheme val="minor"/>
      </font>
      <numFmt numFmtId="165" formatCode="0.00&quot;x&quot;"/>
      <fill>
        <patternFill patternType="none">
          <fgColor indexed="64"/>
          <bgColor auto="1"/>
        </patternFill>
      </fill>
    </dxf>
    <dxf>
      <font>
        <b/>
        <i val="0"/>
        <strike val="0"/>
        <condense val="0"/>
        <extend val="0"/>
        <outline val="0"/>
        <shadow val="0"/>
        <u val="none"/>
        <vertAlign val="baseline"/>
        <sz val="11"/>
        <color theme="1"/>
        <name val="Calibri"/>
        <family val="2"/>
        <scheme val="minor"/>
      </font>
      <numFmt numFmtId="167" formatCode="\+0.00%;\-0.00%;\-"/>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1"/>
        <name val="Calibri"/>
        <family val="2"/>
        <scheme val="minor"/>
      </font>
      <numFmt numFmtId="164" formatCode="&quot;FY&quot;0"/>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solid">
          <fgColor indexed="64"/>
          <bgColor theme="7" tint="0.79998168889431442"/>
        </patternFill>
      </fill>
    </dxf>
    <dxf>
      <numFmt numFmtId="175" formatCode="&quot;&quot;;\-0.00%;&quot;&quot;"/>
    </dxf>
    <dxf>
      <numFmt numFmtId="176" formatCode="&quot;₹&quot;\ 0.00"/>
    </dxf>
    <dxf>
      <numFmt numFmtId="174" formatCode="\+0.00%;&quot;&quot;;\-\-"/>
    </dxf>
    <dxf>
      <numFmt numFmtId="174" formatCode="\+0.00%;&quot;&quot;;\-\-"/>
    </dxf>
    <dxf>
      <numFmt numFmtId="174" formatCode="\+0.00%;&quot;&quot;;\-\-"/>
    </dxf>
    <dxf>
      <numFmt numFmtId="173" formatCode="&quot;~&quot;0\ &quot;days&quot;"/>
    </dxf>
    <dxf>
      <font>
        <b/>
      </font>
    </dxf>
    <dxf>
      <numFmt numFmtId="171" formatCode="\+0.00%;\-0.00%\,\-"/>
    </dxf>
    <dxf>
      <numFmt numFmtId="14" formatCode="0.00%"/>
    </dxf>
    <dxf>
      <font>
        <color rgb="FF00B050"/>
      </font>
    </dxf>
    <dxf>
      <font>
        <color rgb="FF9C0006"/>
      </font>
    </dxf>
    <dxf>
      <font>
        <color rgb="FF9C0006"/>
      </font>
    </dxf>
    <dxf>
      <font>
        <color rgb="FF00B050"/>
      </font>
    </dxf>
    <dxf>
      <font>
        <color rgb="FF00B050"/>
      </font>
    </dxf>
    <dxf>
      <font>
        <color rgb="FF9C0006"/>
      </font>
    </dxf>
    <dxf>
      <font>
        <color rgb="FF9C0006"/>
      </font>
    </dxf>
    <dxf>
      <font>
        <color rgb="FF00B050"/>
      </font>
    </dxf>
    <dxf>
      <font>
        <color rgb="FF9C0006"/>
      </font>
    </dxf>
    <dxf>
      <font>
        <color rgb="FF00B050"/>
      </font>
    </dxf>
    <dxf>
      <font>
        <color rgb="FF00B050"/>
      </font>
    </dxf>
    <dxf>
      <font>
        <color rgb="FF9C0006"/>
      </font>
    </dxf>
    <dxf>
      <font>
        <color rgb="FF00B050"/>
      </font>
    </dxf>
    <dxf>
      <font>
        <color rgb="FF9C0006"/>
      </font>
    </dxf>
    <dxf>
      <font>
        <color theme="0"/>
      </font>
      <fill>
        <patternFill>
          <bgColor rgb="FF2B2B2B"/>
        </patternFill>
      </fill>
    </dxf>
    <dxf>
      <font>
        <color rgb="FFFFC000"/>
      </font>
      <fill>
        <patternFill>
          <bgColor rgb="FFFFC000"/>
        </patternFill>
      </fill>
      <border>
        <left style="thick">
          <color theme="0" tint="-0.14996795556505021"/>
        </left>
        <right style="thick">
          <color theme="0" tint="-0.14996795556505021"/>
        </right>
        <top style="thick">
          <color theme="0" tint="-0.14996795556505021"/>
        </top>
        <bottom style="thick">
          <color theme="0" tint="-0.14996795556505021"/>
        </bottom>
      </border>
    </dxf>
  </dxfs>
  <tableStyles count="3" defaultTableStyle="TableStyleMedium2" defaultPivotStyle="PivotStyleLight16">
    <tableStyle name="Slicer Style 1" pivot="0" table="0" count="1" xr9:uid="{74FBD9AD-1E33-47E9-93E6-A854E7098263}">
      <tableStyleElement type="wholeTable" dxfId="430"/>
    </tableStyle>
    <tableStyle name="Slicer Style 2" pivot="0" table="0" count="2" xr9:uid="{0B5921EA-ADC0-4753-AD27-60257BEBE2B9}"/>
    <tableStyle name="Slicer Style 3" pivot="0" table="0" count="1" xr9:uid="{7534F821-9647-46C8-B4D5-86106A04D409}">
      <tableStyleElement type="headerRow" dxfId="429"/>
    </tableStyle>
  </tableStyles>
  <colors>
    <mruColors>
      <color rgb="FF7A1F2B"/>
      <color rgb="FF3A3A3A"/>
      <color rgb="FFE0C35A"/>
      <color rgb="FFCCA0CA"/>
      <color rgb="FF2B2B2B"/>
      <color rgb="FFCB8B1E"/>
      <color rgb="FF404040"/>
      <color rgb="FFB8860B"/>
      <color rgb="FFD4AF37"/>
      <color rgb="FF333333"/>
    </mruColors>
  </colors>
  <extLst>
    <ext xmlns:x14="http://schemas.microsoft.com/office/spreadsheetml/2009/9/main" uri="{46F421CA-312F-682f-3DD2-61675219B42D}">
      <x14:dxfs count="2">
        <dxf>
          <fill>
            <patternFill>
              <bgColor rgb="FFFFC000"/>
            </patternFill>
          </fill>
        </dxf>
        <dxf>
          <fill>
            <patternFill>
              <bgColor theme="2" tint="-9.9948118533890809E-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
            <x14:slicerStyleElement type="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745663611845045"/>
          <c:y val="5.4079666277747282E-2"/>
          <c:w val="0.79929616117017299"/>
          <c:h val="0.89184066744450541"/>
        </c:manualLayout>
      </c:layout>
      <c:barChart>
        <c:barDir val="bar"/>
        <c:grouping val="clustered"/>
        <c:varyColors val="0"/>
        <c:ser>
          <c:idx val="1"/>
          <c:order val="0"/>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SOPL!$O$9:$U$9</c:f>
              <c:numCache>
                <c:formatCode>General</c:formatCode>
                <c:ptCount val="7"/>
              </c:numCache>
            </c:numRef>
          </c:cat>
          <c:val>
            <c:numRef>
              <c:f>SOPL!$O$10:$U$10</c:f>
              <c:numCache>
                <c:formatCode>"₹"\ ##,#00"M"\ </c:formatCode>
                <c:ptCount val="7"/>
              </c:numCache>
            </c:numRef>
          </c:val>
          <c:extLst>
            <c:ext xmlns:c16="http://schemas.microsoft.com/office/drawing/2014/chart" uri="{C3380CC4-5D6E-409C-BE32-E72D297353CC}">
              <c16:uniqueId val="{00000003-9E95-4988-A526-35F88271E305}"/>
            </c:ext>
          </c:extLst>
        </c:ser>
        <c:ser>
          <c:idx val="0"/>
          <c:order val="1"/>
          <c:spPr>
            <a:solidFill>
              <a:srgbClr val="FFC000"/>
            </a:solidFill>
            <a:ln>
              <a:noFill/>
            </a:ln>
            <a:effectLst/>
          </c:spPr>
          <c:invertIfNegative val="0"/>
          <c:dLbls>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SOPL!$A$68:$F$68</c:f>
              <c:strCache>
                <c:ptCount val="6"/>
                <c:pt idx="0">
                  <c:v>PAT </c:v>
                </c:pt>
                <c:pt idx="1">
                  <c:v>EBT </c:v>
                </c:pt>
                <c:pt idx="2">
                  <c:v>EBIT </c:v>
                </c:pt>
                <c:pt idx="3">
                  <c:v>EBITDA </c:v>
                </c:pt>
                <c:pt idx="4">
                  <c:v>Gross profit </c:v>
                </c:pt>
                <c:pt idx="5">
                  <c:v>Revenue </c:v>
                </c:pt>
              </c:strCache>
            </c:strRef>
          </c:cat>
          <c:val>
            <c:numRef>
              <c:f>SOPL!$A$69:$F$69</c:f>
              <c:numCache>
                <c:formatCode>"₹"\ #,##0"M"</c:formatCode>
                <c:ptCount val="6"/>
                <c:pt idx="0">
                  <c:v>449.34</c:v>
                </c:pt>
                <c:pt idx="1">
                  <c:v>644.36</c:v>
                </c:pt>
                <c:pt idx="2">
                  <c:v>2921.96</c:v>
                </c:pt>
                <c:pt idx="3">
                  <c:v>3828.21</c:v>
                </c:pt>
                <c:pt idx="4">
                  <c:v>12269.33</c:v>
                </c:pt>
                <c:pt idx="5">
                  <c:v>74481.66</c:v>
                </c:pt>
              </c:numCache>
            </c:numRef>
          </c:val>
          <c:extLst>
            <c:ext xmlns:c16="http://schemas.microsoft.com/office/drawing/2014/chart" uri="{C3380CC4-5D6E-409C-BE32-E72D297353CC}">
              <c16:uniqueId val="{00000002-9E95-4988-A526-35F88271E305}"/>
            </c:ext>
          </c:extLst>
        </c:ser>
        <c:dLbls>
          <c:dLblPos val="outEnd"/>
          <c:showLegendKey val="0"/>
          <c:showVal val="1"/>
          <c:showCatName val="0"/>
          <c:showSerName val="0"/>
          <c:showPercent val="0"/>
          <c:showBubbleSize val="0"/>
        </c:dLbls>
        <c:gapWidth val="60"/>
        <c:axId val="1706668352"/>
        <c:axId val="1706664992"/>
      </c:barChart>
      <c:catAx>
        <c:axId val="1706668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06664992"/>
        <c:crosses val="autoZero"/>
        <c:auto val="1"/>
        <c:lblAlgn val="ctr"/>
        <c:lblOffset val="100"/>
        <c:noMultiLvlLbl val="0"/>
      </c:catAx>
      <c:valAx>
        <c:axId val="1706664992"/>
        <c:scaling>
          <c:orientation val="minMax"/>
        </c:scaling>
        <c:delete val="1"/>
        <c:axPos val="b"/>
        <c:numFmt formatCode="&quot;₹&quot;\ #,#00&quot;M&quot;\ " sourceLinked="1"/>
        <c:majorTickMark val="none"/>
        <c:minorTickMark val="none"/>
        <c:tickLblPos val="nextTo"/>
        <c:crossAx val="1706668352"/>
        <c:crosses val="autoZero"/>
        <c:crossBetween val="between"/>
      </c:valAx>
      <c:spPr>
        <a:solidFill>
          <a:srgbClr val="3A3A3A"/>
        </a:solidFill>
      </c:spPr>
    </c:plotArea>
    <c:plotVisOnly val="1"/>
    <c:dispBlanksAs val="gap"/>
    <c:showDLblsOverMax val="0"/>
    <c:extLst/>
  </c:chart>
  <c:spPr>
    <a:solidFill>
      <a:srgbClr val="3A3A3A"/>
    </a:solidFill>
    <a:ln>
      <a:noFill/>
    </a:ln>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629170874483827"/>
          <c:y val="5.0925925925925923E-2"/>
          <c:w val="0.71511179297720862"/>
          <c:h val="0.89814814814814814"/>
        </c:manualLayout>
      </c:layout>
      <c:barChart>
        <c:barDir val="bar"/>
        <c:grouping val="clustered"/>
        <c:varyColors val="0"/>
        <c:ser>
          <c:idx val="0"/>
          <c:order val="0"/>
          <c:spPr>
            <a:solidFill>
              <a:srgbClr val="3A3A3A"/>
            </a:solidFill>
            <a:ln w="0" cap="rnd">
              <a:solidFill>
                <a:schemeClr val="bg1"/>
              </a:solidFill>
              <a:prstDash val="solid"/>
            </a:ln>
            <a:effectLst/>
          </c:spPr>
          <c:invertIfNegative val="0"/>
          <c:dLbls>
            <c:spPr>
              <a:noFill/>
              <a:ln w="12700">
                <a:solidFill>
                  <a:srgbClr val="FFC000">
                    <a:alpha val="65000"/>
                  </a:srgb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SOPL!$A$81:$E$81</c:f>
              <c:strCache>
                <c:ptCount val="5"/>
                <c:pt idx="0">
                  <c:v> PAT Margin %</c:v>
                </c:pt>
                <c:pt idx="1">
                  <c:v> EBT Margin %</c:v>
                </c:pt>
                <c:pt idx="2">
                  <c:v> EBIT Margin %</c:v>
                </c:pt>
                <c:pt idx="3">
                  <c:v> EBITDA Margin %</c:v>
                </c:pt>
                <c:pt idx="4">
                  <c:v> Gross Profit Margin %</c:v>
                </c:pt>
              </c:strCache>
            </c:strRef>
          </c:cat>
          <c:val>
            <c:numRef>
              <c:f>SOPL!$A$82:$E$82</c:f>
              <c:numCache>
                <c:formatCode>0.00%</c:formatCode>
                <c:ptCount val="5"/>
                <c:pt idx="0">
                  <c:v>6.0328945407500311E-3</c:v>
                </c:pt>
                <c:pt idx="1">
                  <c:v>8.6512572356738562E-3</c:v>
                </c:pt>
                <c:pt idx="2">
                  <c:v>3.923059716982677E-2</c:v>
                </c:pt>
                <c:pt idx="3">
                  <c:v>5.139802200971353E-2</c:v>
                </c:pt>
                <c:pt idx="4">
                  <c:v>0.16472954550153687</c:v>
                </c:pt>
              </c:numCache>
            </c:numRef>
          </c:val>
          <c:extLst>
            <c:ext xmlns:c16="http://schemas.microsoft.com/office/drawing/2014/chart" uri="{C3380CC4-5D6E-409C-BE32-E72D297353CC}">
              <c16:uniqueId val="{00000000-B154-471B-8A98-404E6EB8931D}"/>
            </c:ext>
          </c:extLst>
        </c:ser>
        <c:dLbls>
          <c:dLblPos val="outEnd"/>
          <c:showLegendKey val="0"/>
          <c:showVal val="1"/>
          <c:showCatName val="0"/>
          <c:showSerName val="0"/>
          <c:showPercent val="0"/>
          <c:showBubbleSize val="0"/>
        </c:dLbls>
        <c:gapWidth val="182"/>
        <c:axId val="302110496"/>
        <c:axId val="302111936"/>
      </c:barChart>
      <c:catAx>
        <c:axId val="302110496"/>
        <c:scaling>
          <c:orientation val="minMax"/>
        </c:scaling>
        <c:delete val="0"/>
        <c:axPos val="l"/>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02111936"/>
        <c:crosses val="autoZero"/>
        <c:auto val="1"/>
        <c:lblAlgn val="ctr"/>
        <c:lblOffset val="100"/>
        <c:noMultiLvlLbl val="0"/>
      </c:catAx>
      <c:valAx>
        <c:axId val="302111936"/>
        <c:scaling>
          <c:orientation val="minMax"/>
        </c:scaling>
        <c:delete val="1"/>
        <c:axPos val="b"/>
        <c:numFmt formatCode="0.00%" sourceLinked="1"/>
        <c:majorTickMark val="none"/>
        <c:minorTickMark val="none"/>
        <c:tickLblPos val="nextTo"/>
        <c:crossAx val="302110496"/>
        <c:crosses val="autoZero"/>
        <c:crossBetween val="between"/>
      </c:valAx>
      <c:spPr>
        <a:solidFill>
          <a:srgbClr val="3A3A3A"/>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A3A3A"/>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E0C35A"/>
            </a:solidFill>
            <a:ln>
              <a:noFill/>
            </a:ln>
            <a:effectLst/>
          </c:spPr>
          <c:invertIfNegative val="0"/>
          <c:dLbls>
            <c:spPr>
              <a:noFill/>
              <a:ln>
                <a:solidFill>
                  <a:schemeClr val="bg1"/>
                </a:solid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SOPL!$F$81:$G$81</c:f>
              <c:strCache>
                <c:ptCount val="2"/>
                <c:pt idx="0">
                  <c:v> ROCE %</c:v>
                </c:pt>
                <c:pt idx="1">
                  <c:v> ROE %</c:v>
                </c:pt>
              </c:strCache>
            </c:strRef>
          </c:cat>
          <c:val>
            <c:numRef>
              <c:f>SOPL!$F$82:$G$82</c:f>
              <c:numCache>
                <c:formatCode>0.00%</c:formatCode>
                <c:ptCount val="2"/>
                <c:pt idx="0">
                  <c:v>0.13061957979436742</c:v>
                </c:pt>
                <c:pt idx="1">
                  <c:v>3.0316631803198782E-2</c:v>
                </c:pt>
              </c:numCache>
            </c:numRef>
          </c:val>
          <c:extLst>
            <c:ext xmlns:c16="http://schemas.microsoft.com/office/drawing/2014/chart" uri="{C3380CC4-5D6E-409C-BE32-E72D297353CC}">
              <c16:uniqueId val="{00000000-3798-4BCF-A98C-E5C893696D80}"/>
            </c:ext>
          </c:extLst>
        </c:ser>
        <c:dLbls>
          <c:dLblPos val="outEnd"/>
          <c:showLegendKey val="0"/>
          <c:showVal val="1"/>
          <c:showCatName val="0"/>
          <c:showSerName val="0"/>
          <c:showPercent val="0"/>
          <c:showBubbleSize val="0"/>
        </c:dLbls>
        <c:gapWidth val="219"/>
        <c:overlap val="-27"/>
        <c:axId val="996574016"/>
        <c:axId val="996578816"/>
      </c:barChart>
      <c:catAx>
        <c:axId val="99657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996578816"/>
        <c:crosses val="autoZero"/>
        <c:auto val="1"/>
        <c:lblAlgn val="ctr"/>
        <c:lblOffset val="100"/>
        <c:noMultiLvlLbl val="0"/>
      </c:catAx>
      <c:valAx>
        <c:axId val="996578816"/>
        <c:scaling>
          <c:orientation val="minMax"/>
        </c:scaling>
        <c:delete val="1"/>
        <c:axPos val="l"/>
        <c:numFmt formatCode="0.00%" sourceLinked="1"/>
        <c:majorTickMark val="none"/>
        <c:minorTickMark val="none"/>
        <c:tickLblPos val="nextTo"/>
        <c:crossAx val="996574016"/>
        <c:crosses val="autoZero"/>
        <c:crossBetween val="between"/>
      </c:valAx>
      <c:spPr>
        <a:solidFill>
          <a:srgbClr val="3A3A3A"/>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A3A3A"/>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noFill/>
            <a:ln>
              <a:solidFill>
                <a:srgbClr val="FFC000"/>
              </a:solidFill>
            </a:ln>
            <a:effectLst/>
          </c:spPr>
          <c:invertIfNegative val="0"/>
          <c:dPt>
            <c:idx val="0"/>
            <c:invertIfNegative val="0"/>
            <c:bubble3D val="0"/>
            <c:spPr>
              <a:noFill/>
              <a:ln>
                <a:solidFill>
                  <a:srgbClr val="FFC000"/>
                </a:solidFill>
              </a:ln>
              <a:effectLst/>
            </c:spPr>
            <c:extLst>
              <c:ext xmlns:c16="http://schemas.microsoft.com/office/drawing/2014/chart" uri="{C3380CC4-5D6E-409C-BE32-E72D297353CC}">
                <c16:uniqueId val="{00000001-9FBD-4DD7-A12B-3B587403403B}"/>
              </c:ext>
            </c:extLst>
          </c:dPt>
          <c:dPt>
            <c:idx val="1"/>
            <c:invertIfNegative val="0"/>
            <c:bubble3D val="0"/>
            <c:spPr>
              <a:noFill/>
              <a:ln>
                <a:solidFill>
                  <a:srgbClr val="FFC000"/>
                </a:solidFill>
              </a:ln>
              <a:effectLst/>
            </c:spPr>
            <c:extLst>
              <c:ext xmlns:c16="http://schemas.microsoft.com/office/drawing/2014/chart" uri="{C3380CC4-5D6E-409C-BE32-E72D297353CC}">
                <c16:uniqueId val="{00000003-9FBD-4DD7-A12B-3B587403403B}"/>
              </c:ext>
            </c:extLst>
          </c:dPt>
          <c:dPt>
            <c:idx val="2"/>
            <c:invertIfNegative val="0"/>
            <c:bubble3D val="0"/>
            <c:spPr>
              <a:noFill/>
              <a:ln>
                <a:solidFill>
                  <a:srgbClr val="FFC000"/>
                </a:solidFill>
              </a:ln>
              <a:effectLst/>
            </c:spPr>
            <c:extLst>
              <c:ext xmlns:c16="http://schemas.microsoft.com/office/drawing/2014/chart" uri="{C3380CC4-5D6E-409C-BE32-E72D297353CC}">
                <c16:uniqueId val="{00000005-9FBD-4DD7-A12B-3B587403403B}"/>
              </c:ext>
            </c:extLst>
          </c:dPt>
          <c:dLbls>
            <c:dLbl>
              <c:idx val="1"/>
              <c:layout>
                <c:manualLayout>
                  <c:x val="-5.6187319422174421E-17"/>
                  <c:y val="-1.454293390904520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BD-4DD7-A12B-3B587403403B}"/>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SOPL!$H$81:$J$81</c:f>
              <c:strCache>
                <c:ptCount val="3"/>
                <c:pt idx="0">
                  <c:v> CFO</c:v>
                </c:pt>
                <c:pt idx="1">
                  <c:v> CFI</c:v>
                </c:pt>
                <c:pt idx="2">
                  <c:v> CFF</c:v>
                </c:pt>
              </c:strCache>
            </c:strRef>
          </c:cat>
          <c:val>
            <c:numRef>
              <c:f>SOPL!$H$82:$J$82</c:f>
              <c:numCache>
                <c:formatCode>"₹"\ 0.00"M";\("₹"\ 0.00"M"\);\-</c:formatCode>
                <c:ptCount val="3"/>
                <c:pt idx="0">
                  <c:v>-263.39</c:v>
                </c:pt>
                <c:pt idx="1">
                  <c:v>1434.64</c:v>
                </c:pt>
                <c:pt idx="2">
                  <c:v>-1418.2</c:v>
                </c:pt>
              </c:numCache>
            </c:numRef>
          </c:val>
          <c:extLst>
            <c:ext xmlns:c16="http://schemas.microsoft.com/office/drawing/2014/chart" uri="{C3380CC4-5D6E-409C-BE32-E72D297353CC}">
              <c16:uniqueId val="{00000006-9FBD-4DD7-A12B-3B587403403B}"/>
            </c:ext>
          </c:extLst>
        </c:ser>
        <c:dLbls>
          <c:dLblPos val="outEnd"/>
          <c:showLegendKey val="0"/>
          <c:showVal val="1"/>
          <c:showCatName val="0"/>
          <c:showSerName val="0"/>
          <c:showPercent val="0"/>
          <c:showBubbleSize val="0"/>
        </c:dLbls>
        <c:gapWidth val="219"/>
        <c:overlap val="-27"/>
        <c:axId val="299725376"/>
        <c:axId val="299736896"/>
      </c:barChart>
      <c:catAx>
        <c:axId val="29972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99736896"/>
        <c:crosses val="autoZero"/>
        <c:auto val="1"/>
        <c:lblAlgn val="ctr"/>
        <c:lblOffset val="100"/>
        <c:noMultiLvlLbl val="0"/>
      </c:catAx>
      <c:valAx>
        <c:axId val="299736896"/>
        <c:scaling>
          <c:orientation val="minMax"/>
        </c:scaling>
        <c:delete val="1"/>
        <c:axPos val="l"/>
        <c:numFmt formatCode="&quot;₹&quot;\ 0.00&quot;M&quot;;\(&quot;₹&quot;\ 0.00&quot;M&quot;\);\-" sourceLinked="1"/>
        <c:majorTickMark val="none"/>
        <c:minorTickMark val="none"/>
        <c:tickLblPos val="nextTo"/>
        <c:crossAx val="29972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A3A3A"/>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jpe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5570</xdr:colOff>
      <xdr:row>44</xdr:row>
      <xdr:rowOff>0</xdr:rowOff>
    </xdr:to>
    <xdr:sp macro="" textlink="">
      <xdr:nvSpPr>
        <xdr:cNvPr id="2" name="Rectangle: Rounded Corners 1">
          <a:extLst>
            <a:ext uri="{FF2B5EF4-FFF2-40B4-BE49-F238E27FC236}">
              <a16:creationId xmlns:a16="http://schemas.microsoft.com/office/drawing/2014/main" id="{63AEC150-C243-2023-C0C9-FBBFD67E0400}"/>
            </a:ext>
          </a:extLst>
        </xdr:cNvPr>
        <xdr:cNvSpPr/>
      </xdr:nvSpPr>
      <xdr:spPr>
        <a:xfrm>
          <a:off x="0" y="0"/>
          <a:ext cx="15351403" cy="7916333"/>
        </a:xfrm>
        <a:prstGeom prst="roundRect">
          <a:avLst>
            <a:gd name="adj" fmla="val 2778"/>
          </a:avLst>
        </a:prstGeom>
        <a:solidFill>
          <a:srgbClr val="2B2B2B">
            <a:alpha val="96000"/>
          </a:srgb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a:effectLst/>
          </a:endParaRPr>
        </a:p>
      </xdr:txBody>
    </xdr:sp>
    <xdr:clientData/>
  </xdr:twoCellAnchor>
  <xdr:twoCellAnchor>
    <xdr:from>
      <xdr:col>0</xdr:col>
      <xdr:colOff>125835</xdr:colOff>
      <xdr:row>6</xdr:row>
      <xdr:rowOff>167781</xdr:rowOff>
    </xdr:from>
    <xdr:to>
      <xdr:col>9</xdr:col>
      <xdr:colOff>163473</xdr:colOff>
      <xdr:row>21</xdr:row>
      <xdr:rowOff>149967</xdr:rowOff>
    </xdr:to>
    <xdr:sp macro="" textlink="">
      <xdr:nvSpPr>
        <xdr:cNvPr id="8" name="Rectangle: Rounded Corners 7">
          <a:extLst>
            <a:ext uri="{FF2B5EF4-FFF2-40B4-BE49-F238E27FC236}">
              <a16:creationId xmlns:a16="http://schemas.microsoft.com/office/drawing/2014/main" id="{648AA2F7-6B96-42B3-984D-1E86F5226AA6}"/>
            </a:ext>
          </a:extLst>
        </xdr:cNvPr>
        <xdr:cNvSpPr/>
      </xdr:nvSpPr>
      <xdr:spPr>
        <a:xfrm>
          <a:off x="125835" y="1247281"/>
          <a:ext cx="5562138" cy="2680936"/>
        </a:xfrm>
        <a:prstGeom prst="roundRect">
          <a:avLst>
            <a:gd name="adj" fmla="val 4989"/>
          </a:avLst>
        </a:prstGeom>
        <a:solidFill>
          <a:srgbClr val="3A3A3A"/>
        </a:solidFill>
        <a:ln>
          <a:solidFill>
            <a:schemeClr val="bg2">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195680</xdr:colOff>
      <xdr:row>7</xdr:row>
      <xdr:rowOff>34773</xdr:rowOff>
    </xdr:from>
    <xdr:to>
      <xdr:col>9</xdr:col>
      <xdr:colOff>89449</xdr:colOff>
      <xdr:row>21</xdr:row>
      <xdr:rowOff>119510</xdr:rowOff>
    </xdr:to>
    <xdr:graphicFrame macro="">
      <xdr:nvGraphicFramePr>
        <xdr:cNvPr id="10" name="Chart 9">
          <a:extLst>
            <a:ext uri="{FF2B5EF4-FFF2-40B4-BE49-F238E27FC236}">
              <a16:creationId xmlns:a16="http://schemas.microsoft.com/office/drawing/2014/main" id="{0834B398-4EBC-423D-9D92-3C1615DBC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255211</xdr:colOff>
      <xdr:row>17</xdr:row>
      <xdr:rowOff>105315</xdr:rowOff>
    </xdr:from>
    <xdr:to>
      <xdr:col>9</xdr:col>
      <xdr:colOff>153896</xdr:colOff>
      <xdr:row>21</xdr:row>
      <xdr:rowOff>112930</xdr:rowOff>
    </xdr:to>
    <xdr:sp macro="" textlink="SOPL!B63">
      <xdr:nvSpPr>
        <xdr:cNvPr id="20" name="Rectangle: Rounded Corners 19">
          <a:extLst>
            <a:ext uri="{FF2B5EF4-FFF2-40B4-BE49-F238E27FC236}">
              <a16:creationId xmlns:a16="http://schemas.microsoft.com/office/drawing/2014/main" id="{BA9D45D6-5429-A984-C4A9-9C0FA7110E9C}"/>
            </a:ext>
          </a:extLst>
        </xdr:cNvPr>
        <xdr:cNvSpPr/>
      </xdr:nvSpPr>
      <xdr:spPr>
        <a:xfrm>
          <a:off x="4552044" y="3163898"/>
          <a:ext cx="1126352" cy="72728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EAFE78C-9D27-4B0A-97BD-F822407276FD}" type="TxLink">
            <a:rPr lang="en-US" sz="1600" b="1" i="0" u="none" strike="noStrike">
              <a:solidFill>
                <a:schemeClr val="bg1"/>
              </a:solidFill>
              <a:latin typeface="Calibri"/>
              <a:ea typeface="Calibri"/>
              <a:cs typeface="Calibri"/>
            </a:rPr>
            <a:pPr algn="ctr"/>
            <a:t>FY19</a:t>
          </a:fld>
          <a:endParaRPr lang="en-US" sz="1600" b="1" i="0" u="none" strike="noStrike">
            <a:solidFill>
              <a:schemeClr val="bg1"/>
            </a:solidFill>
            <a:latin typeface="Calibri"/>
            <a:ea typeface="Calibri"/>
            <a:cs typeface="Calibri"/>
          </a:endParaRPr>
        </a:p>
      </xdr:txBody>
    </xdr:sp>
    <xdr:clientData/>
  </xdr:twoCellAnchor>
  <xdr:twoCellAnchor>
    <xdr:from>
      <xdr:col>9</xdr:col>
      <xdr:colOff>325178</xdr:colOff>
      <xdr:row>7</xdr:row>
      <xdr:rowOff>32187</xdr:rowOff>
    </xdr:from>
    <xdr:to>
      <xdr:col>12</xdr:col>
      <xdr:colOff>572002</xdr:colOff>
      <xdr:row>9</xdr:row>
      <xdr:rowOff>31160</xdr:rowOff>
    </xdr:to>
    <xdr:sp macro="" textlink="">
      <xdr:nvSpPr>
        <xdr:cNvPr id="5" name="Rectangle: Rounded Corners 4">
          <a:extLst>
            <a:ext uri="{FF2B5EF4-FFF2-40B4-BE49-F238E27FC236}">
              <a16:creationId xmlns:a16="http://schemas.microsoft.com/office/drawing/2014/main" id="{2CED9C7A-7FC7-DA10-07C8-41C35C0ABAC9}"/>
            </a:ext>
          </a:extLst>
        </xdr:cNvPr>
        <xdr:cNvSpPr/>
      </xdr:nvSpPr>
      <xdr:spPr>
        <a:xfrm>
          <a:off x="5849678" y="1291604"/>
          <a:ext cx="2088324" cy="35880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rgbClr val="FFC000"/>
              </a:solidFill>
              <a:latin typeface="Segoe UI" panose="020B0502040204020203" pitchFamily="34" charset="0"/>
              <a:cs typeface="Segoe UI" panose="020B0502040204020203" pitchFamily="34" charset="0"/>
            </a:rPr>
            <a:t>REVENUE</a:t>
          </a:r>
          <a:endParaRPr lang="en-IN" sz="1100" b="1">
            <a:solidFill>
              <a:srgbClr val="FFC000"/>
            </a:solidFill>
            <a:latin typeface="Segoe UI" panose="020B0502040204020203" pitchFamily="34" charset="0"/>
            <a:cs typeface="Segoe UI" panose="020B0502040204020203" pitchFamily="34" charset="0"/>
          </a:endParaRPr>
        </a:p>
      </xdr:txBody>
    </xdr:sp>
    <xdr:clientData/>
  </xdr:twoCellAnchor>
  <xdr:twoCellAnchor>
    <xdr:from>
      <xdr:col>9</xdr:col>
      <xdr:colOff>284244</xdr:colOff>
      <xdr:row>7</xdr:row>
      <xdr:rowOff>28754</xdr:rowOff>
    </xdr:from>
    <xdr:to>
      <xdr:col>13</xdr:col>
      <xdr:colOff>34134</xdr:colOff>
      <xdr:row>11</xdr:row>
      <xdr:rowOff>106492</xdr:rowOff>
    </xdr:to>
    <xdr:sp macro="" textlink="SOPL!F69">
      <xdr:nvSpPr>
        <xdr:cNvPr id="19" name="Rectangle: Rounded Corners 18">
          <a:extLst>
            <a:ext uri="{FF2B5EF4-FFF2-40B4-BE49-F238E27FC236}">
              <a16:creationId xmlns:a16="http://schemas.microsoft.com/office/drawing/2014/main" id="{201ED31E-57EA-E265-4100-A8CB0FB9556E}"/>
            </a:ext>
          </a:extLst>
        </xdr:cNvPr>
        <xdr:cNvSpPr/>
      </xdr:nvSpPr>
      <xdr:spPr>
        <a:xfrm>
          <a:off x="5808744" y="1288171"/>
          <a:ext cx="2205223" cy="797404"/>
        </a:xfrm>
        <a:prstGeom prst="roundRect">
          <a:avLst/>
        </a:prstGeom>
        <a:noFill/>
        <a:ln>
          <a:solidFill>
            <a:srgbClr val="7A1F2B"/>
          </a:solidFill>
        </a:ln>
        <a:effectLst>
          <a:outerShdw blurRad="50800" dist="38100" dir="2700000" algn="tl" rotWithShape="0">
            <a:srgbClr val="7A1F2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0963D7A6-F464-46A8-9FC0-01CCC5CF2F52}" type="TxLink">
            <a:rPr lang="en-US" sz="2000" b="1" i="0" u="none" strike="noStrike">
              <a:solidFill>
                <a:schemeClr val="bg2"/>
              </a:solidFill>
              <a:latin typeface="Segoe UI" panose="020B0502040204020203" pitchFamily="34" charset="0"/>
              <a:ea typeface="Calibri"/>
              <a:cs typeface="Segoe UI" panose="020B0502040204020203" pitchFamily="34" charset="0"/>
            </a:rPr>
            <a:pPr algn="l"/>
            <a:t>₹ 74,482M</a:t>
          </a:fld>
          <a:endParaRPr lang="en-US" sz="4000" b="1" i="0" u="none" strike="noStrike">
            <a:solidFill>
              <a:schemeClr val="bg2"/>
            </a:solidFill>
            <a:latin typeface="Segoe UI" panose="020B0502040204020203" pitchFamily="34" charset="0"/>
            <a:ea typeface="Calibri"/>
            <a:cs typeface="Segoe UI" panose="020B0502040204020203" pitchFamily="34" charset="0"/>
          </a:endParaRPr>
        </a:p>
      </xdr:txBody>
    </xdr:sp>
    <xdr:clientData/>
  </xdr:twoCellAnchor>
  <xdr:twoCellAnchor>
    <xdr:from>
      <xdr:col>11</xdr:col>
      <xdr:colOff>526946</xdr:colOff>
      <xdr:row>9</xdr:row>
      <xdr:rowOff>97340</xdr:rowOff>
    </xdr:from>
    <xdr:to>
      <xdr:col>13</xdr:col>
      <xdr:colOff>99691</xdr:colOff>
      <xdr:row>10</xdr:row>
      <xdr:rowOff>167369</xdr:rowOff>
    </xdr:to>
    <xdr:sp macro="" textlink="SOPL!A74">
      <xdr:nvSpPr>
        <xdr:cNvPr id="7" name="Rectangle: Rounded Corners 6">
          <a:extLst>
            <a:ext uri="{FF2B5EF4-FFF2-40B4-BE49-F238E27FC236}">
              <a16:creationId xmlns:a16="http://schemas.microsoft.com/office/drawing/2014/main" id="{679DF3C4-D459-366B-7B20-B3ED83CEA33E}"/>
            </a:ext>
          </a:extLst>
        </xdr:cNvPr>
        <xdr:cNvSpPr/>
      </xdr:nvSpPr>
      <xdr:spPr>
        <a:xfrm>
          <a:off x="7232546" y="1743260"/>
          <a:ext cx="791945" cy="25290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6B7DC90-CB3E-422D-A193-86DEAE2C638A}" type="TxLink">
            <a:rPr lang="en-US" sz="900" b="1" i="1" u="none" strike="noStrike">
              <a:solidFill>
                <a:srgbClr val="00B050"/>
              </a:solidFill>
              <a:latin typeface="Segoe UI" panose="020B0502040204020203" pitchFamily="34" charset="0"/>
              <a:ea typeface="Calibri"/>
              <a:cs typeface="Segoe UI" panose="020B0502040204020203" pitchFamily="34" charset="0"/>
            </a:rPr>
            <a:pPr algn="l"/>
            <a:t> </a:t>
          </a:fld>
          <a:endParaRPr lang="en-IN" sz="800" i="1">
            <a:solidFill>
              <a:srgbClr val="00B050"/>
            </a:solidFill>
            <a:latin typeface="Segoe UI" panose="020B0502040204020203" pitchFamily="34" charset="0"/>
            <a:cs typeface="Segoe UI" panose="020B0502040204020203" pitchFamily="34" charset="0"/>
          </a:endParaRPr>
        </a:p>
      </xdr:txBody>
    </xdr:sp>
    <xdr:clientData/>
  </xdr:twoCellAnchor>
  <xdr:twoCellAnchor>
    <xdr:from>
      <xdr:col>11</xdr:col>
      <xdr:colOff>569616</xdr:colOff>
      <xdr:row>9</xdr:row>
      <xdr:rowOff>97340</xdr:rowOff>
    </xdr:from>
    <xdr:to>
      <xdr:col>13</xdr:col>
      <xdr:colOff>35585</xdr:colOff>
      <xdr:row>10</xdr:row>
      <xdr:rowOff>134711</xdr:rowOff>
    </xdr:to>
    <xdr:sp macro="" textlink="SOPL!A61">
      <xdr:nvSpPr>
        <xdr:cNvPr id="9" name="Rectangle: Rounded Corners 8">
          <a:extLst>
            <a:ext uri="{FF2B5EF4-FFF2-40B4-BE49-F238E27FC236}">
              <a16:creationId xmlns:a16="http://schemas.microsoft.com/office/drawing/2014/main" id="{4548A8FA-B08F-5AC1-92A9-6D416CB89D68}"/>
            </a:ext>
          </a:extLst>
        </xdr:cNvPr>
        <xdr:cNvSpPr/>
      </xdr:nvSpPr>
      <xdr:spPr>
        <a:xfrm>
          <a:off x="7275216" y="1743260"/>
          <a:ext cx="685169" cy="22025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4BA39986-4B3D-42A6-86C2-63A8AE2DB8DF}" type="TxLink">
            <a:rPr lang="en-US" sz="900" b="1" i="1" u="none" strike="noStrike">
              <a:solidFill>
                <a:srgbClr val="FF0000"/>
              </a:solidFill>
              <a:latin typeface="Segoe UI" panose="020B0502040204020203" pitchFamily="34" charset="0"/>
              <a:ea typeface="Calibri"/>
              <a:cs typeface="Segoe UI" panose="020B0502040204020203" pitchFamily="34" charset="0"/>
            </a:rPr>
            <a:pPr algn="l"/>
            <a:t>-9.76%</a:t>
          </a:fld>
          <a:endParaRPr lang="en-IN" sz="900" b="1" i="1">
            <a:solidFill>
              <a:srgbClr val="FF0000"/>
            </a:solidFill>
            <a:latin typeface="Segoe UI" panose="020B0502040204020203" pitchFamily="34" charset="0"/>
            <a:cs typeface="Segoe UI" panose="020B0502040204020203" pitchFamily="34" charset="0"/>
          </a:endParaRPr>
        </a:p>
      </xdr:txBody>
    </xdr:sp>
    <xdr:clientData/>
  </xdr:twoCellAnchor>
  <xdr:twoCellAnchor editAs="oneCell">
    <xdr:from>
      <xdr:col>6</xdr:col>
      <xdr:colOff>464570</xdr:colOff>
      <xdr:row>0</xdr:row>
      <xdr:rowOff>152401</xdr:rowOff>
    </xdr:from>
    <xdr:to>
      <xdr:col>24</xdr:col>
      <xdr:colOff>391583</xdr:colOff>
      <xdr:row>6</xdr:row>
      <xdr:rowOff>15876</xdr:rowOff>
    </xdr:to>
    <mc:AlternateContent xmlns:mc="http://schemas.openxmlformats.org/markup-compatibility/2006" xmlns:a14="http://schemas.microsoft.com/office/drawing/2010/main">
      <mc:Choice Requires="a14">
        <xdr:graphicFrame macro="">
          <xdr:nvGraphicFramePr>
            <xdr:cNvPr id="12" name="Financial Year">
              <a:extLst>
                <a:ext uri="{FF2B5EF4-FFF2-40B4-BE49-F238E27FC236}">
                  <a16:creationId xmlns:a16="http://schemas.microsoft.com/office/drawing/2014/main" id="{AB87B892-3773-4734-AC57-98E610AA54C9}"/>
                </a:ext>
              </a:extLst>
            </xdr:cNvPr>
            <xdr:cNvGraphicFramePr/>
          </xdr:nvGraphicFramePr>
          <xdr:xfrm>
            <a:off x="0" y="0"/>
            <a:ext cx="0" cy="0"/>
          </xdr:xfrm>
          <a:graphic>
            <a:graphicData uri="http://schemas.microsoft.com/office/drawing/2010/slicer">
              <sle:slicer xmlns:sle="http://schemas.microsoft.com/office/drawing/2010/slicer" name="Financial Year"/>
            </a:graphicData>
          </a:graphic>
        </xdr:graphicFrame>
      </mc:Choice>
      <mc:Fallback xmlns="">
        <xdr:sp macro="" textlink="">
          <xdr:nvSpPr>
            <xdr:cNvPr id="0" name=""/>
            <xdr:cNvSpPr>
              <a:spLocks noTextEdit="1"/>
            </xdr:cNvSpPr>
          </xdr:nvSpPr>
          <xdr:spPr>
            <a:xfrm>
              <a:off x="4122170" y="152401"/>
              <a:ext cx="10899813" cy="960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514531</xdr:colOff>
      <xdr:row>14</xdr:row>
      <xdr:rowOff>89673</xdr:rowOff>
    </xdr:from>
    <xdr:to>
      <xdr:col>13</xdr:col>
      <xdr:colOff>117843</xdr:colOff>
      <xdr:row>15</xdr:row>
      <xdr:rowOff>151785</xdr:rowOff>
    </xdr:to>
    <xdr:sp macro="" textlink="SOPL!I74">
      <xdr:nvSpPr>
        <xdr:cNvPr id="60" name="Rectangle: Rounded Corners 59">
          <a:extLst>
            <a:ext uri="{FF2B5EF4-FFF2-40B4-BE49-F238E27FC236}">
              <a16:creationId xmlns:a16="http://schemas.microsoft.com/office/drawing/2014/main" id="{E47F27DD-1BE5-680F-82B8-D61F9F8DC6B7}"/>
            </a:ext>
          </a:extLst>
        </xdr:cNvPr>
        <xdr:cNvSpPr/>
      </xdr:nvSpPr>
      <xdr:spPr>
        <a:xfrm>
          <a:off x="7220131" y="2649993"/>
          <a:ext cx="822512" cy="24499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9B928FF-1217-467B-A1C0-529E4B9EACC7}" type="TxLink">
            <a:rPr lang="en-US" sz="900" b="1" i="1" u="none" strike="noStrike">
              <a:solidFill>
                <a:srgbClr val="00B050"/>
              </a:solidFill>
              <a:latin typeface="Segoe UI" panose="020B0502040204020203" pitchFamily="34" charset="0"/>
              <a:ea typeface="Calibri"/>
              <a:cs typeface="Segoe UI" panose="020B0502040204020203" pitchFamily="34" charset="0"/>
            </a:rPr>
            <a:pPr algn="l"/>
            <a:t> </a:t>
          </a:fld>
          <a:endParaRPr lang="en-IN" sz="900" b="1" i="1">
            <a:solidFill>
              <a:srgbClr val="00B050"/>
            </a:solidFill>
            <a:latin typeface="Segoe UI" panose="020B0502040204020203" pitchFamily="34" charset="0"/>
            <a:cs typeface="Segoe UI" panose="020B0502040204020203" pitchFamily="34" charset="0"/>
          </a:endParaRPr>
        </a:p>
      </xdr:txBody>
    </xdr:sp>
    <xdr:clientData/>
  </xdr:twoCellAnchor>
  <xdr:twoCellAnchor>
    <xdr:from>
      <xdr:col>9</xdr:col>
      <xdr:colOff>329288</xdr:colOff>
      <xdr:row>12</xdr:row>
      <xdr:rowOff>31402</xdr:rowOff>
    </xdr:from>
    <xdr:to>
      <xdr:col>12</xdr:col>
      <xdr:colOff>586617</xdr:colOff>
      <xdr:row>14</xdr:row>
      <xdr:rowOff>32244</xdr:rowOff>
    </xdr:to>
    <xdr:sp macro="" textlink="">
      <xdr:nvSpPr>
        <xdr:cNvPr id="58" name="Rectangle: Rounded Corners 57">
          <a:extLst>
            <a:ext uri="{FF2B5EF4-FFF2-40B4-BE49-F238E27FC236}">
              <a16:creationId xmlns:a16="http://schemas.microsoft.com/office/drawing/2014/main" id="{FD9E5E4D-8B86-E992-EDDE-F3A2F0559B84}"/>
            </a:ext>
          </a:extLst>
        </xdr:cNvPr>
        <xdr:cNvSpPr/>
      </xdr:nvSpPr>
      <xdr:spPr>
        <a:xfrm>
          <a:off x="5853788" y="2190402"/>
          <a:ext cx="2098829" cy="3606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rgbClr val="FFC000"/>
              </a:solidFill>
              <a:latin typeface="Segoe UI" panose="020B0502040204020203" pitchFamily="34" charset="0"/>
              <a:cs typeface="Segoe UI" panose="020B0502040204020203" pitchFamily="34" charset="0"/>
            </a:rPr>
            <a:t>GROSS PROFIT</a:t>
          </a:r>
        </a:p>
      </xdr:txBody>
    </xdr:sp>
    <xdr:clientData/>
  </xdr:twoCellAnchor>
  <xdr:twoCellAnchor>
    <xdr:from>
      <xdr:col>9</xdr:col>
      <xdr:colOff>288681</xdr:colOff>
      <xdr:row>12</xdr:row>
      <xdr:rowOff>27946</xdr:rowOff>
    </xdr:from>
    <xdr:to>
      <xdr:col>13</xdr:col>
      <xdr:colOff>26779</xdr:colOff>
      <xdr:row>16</xdr:row>
      <xdr:rowOff>98051</xdr:rowOff>
    </xdr:to>
    <xdr:sp macro="" textlink="SOPL!E69">
      <xdr:nvSpPr>
        <xdr:cNvPr id="59" name="Rectangle: Rounded Corners 58">
          <a:extLst>
            <a:ext uri="{FF2B5EF4-FFF2-40B4-BE49-F238E27FC236}">
              <a16:creationId xmlns:a16="http://schemas.microsoft.com/office/drawing/2014/main" id="{B83F93ED-F4F1-A7F5-216D-0C91F8FB5059}"/>
            </a:ext>
          </a:extLst>
        </xdr:cNvPr>
        <xdr:cNvSpPr/>
      </xdr:nvSpPr>
      <xdr:spPr>
        <a:xfrm>
          <a:off x="5813181" y="2186946"/>
          <a:ext cx="2193431" cy="789772"/>
        </a:xfrm>
        <a:prstGeom prst="roundRect">
          <a:avLst/>
        </a:prstGeom>
        <a:noFill/>
        <a:ln>
          <a:solidFill>
            <a:srgbClr val="7A1F2B"/>
          </a:solidFill>
        </a:ln>
        <a:effectLst>
          <a:outerShdw blurRad="50800" dist="38100" dir="2700000" algn="tl" rotWithShape="0">
            <a:srgbClr val="7A1F2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12CAF6D2-15DF-4562-A541-197D3ED1CC9B}" type="TxLink">
            <a:rPr lang="en-US" sz="2000" b="1" i="0" u="none" strike="noStrike">
              <a:solidFill>
                <a:schemeClr val="bg2"/>
              </a:solidFill>
              <a:latin typeface="Segoe UI" panose="020B0502040204020203" pitchFamily="34" charset="0"/>
              <a:ea typeface="Calibri"/>
              <a:cs typeface="Segoe UI" panose="020B0502040204020203" pitchFamily="34" charset="0"/>
            </a:rPr>
            <a:pPr algn="l"/>
            <a:t>₹ 12,269M</a:t>
          </a:fld>
          <a:endParaRPr lang="en-US" sz="2000" b="1" i="0" u="none" strike="noStrike">
            <a:solidFill>
              <a:schemeClr val="bg2"/>
            </a:solidFill>
            <a:latin typeface="Segoe UI" panose="020B0502040204020203" pitchFamily="34" charset="0"/>
            <a:ea typeface="Calibri"/>
            <a:cs typeface="Segoe UI" panose="020B0502040204020203" pitchFamily="34" charset="0"/>
          </a:endParaRPr>
        </a:p>
      </xdr:txBody>
    </xdr:sp>
    <xdr:clientData/>
  </xdr:twoCellAnchor>
  <xdr:twoCellAnchor>
    <xdr:from>
      <xdr:col>11</xdr:col>
      <xdr:colOff>569617</xdr:colOff>
      <xdr:row>14</xdr:row>
      <xdr:rowOff>89673</xdr:rowOff>
    </xdr:from>
    <xdr:to>
      <xdr:col>13</xdr:col>
      <xdr:colOff>18761</xdr:colOff>
      <xdr:row>15</xdr:row>
      <xdr:rowOff>134587</xdr:rowOff>
    </xdr:to>
    <xdr:sp macro="" textlink="SOPL!C61">
      <xdr:nvSpPr>
        <xdr:cNvPr id="66" name="Rectangle: Rounded Corners 65">
          <a:extLst>
            <a:ext uri="{FF2B5EF4-FFF2-40B4-BE49-F238E27FC236}">
              <a16:creationId xmlns:a16="http://schemas.microsoft.com/office/drawing/2014/main" id="{224F6F88-6BF4-4FFD-862B-B8ACD8F341C0}"/>
            </a:ext>
          </a:extLst>
        </xdr:cNvPr>
        <xdr:cNvSpPr/>
      </xdr:nvSpPr>
      <xdr:spPr>
        <a:xfrm>
          <a:off x="7275217" y="2649993"/>
          <a:ext cx="668344" cy="22779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02094CB2-F60B-4D73-8142-BBC6AFDB85E3}" type="TxLink">
            <a:rPr lang="en-US" sz="900" b="1" i="1" u="none" strike="noStrike">
              <a:solidFill>
                <a:srgbClr val="FF0000"/>
              </a:solidFill>
              <a:latin typeface="Segoe UI" panose="020B0502040204020203" pitchFamily="34" charset="0"/>
              <a:ea typeface="Calibri"/>
              <a:cs typeface="Segoe UI" panose="020B0502040204020203" pitchFamily="34" charset="0"/>
            </a:rPr>
            <a:pPr algn="l"/>
            <a:t>-7.46%</a:t>
          </a:fld>
          <a:endParaRPr lang="en-IN" sz="900" b="1" i="1">
            <a:solidFill>
              <a:srgbClr val="FF0000"/>
            </a:solidFill>
            <a:latin typeface="Segoe UI" panose="020B0502040204020203" pitchFamily="34" charset="0"/>
            <a:cs typeface="Segoe UI" panose="020B0502040204020203" pitchFamily="34" charset="0"/>
          </a:endParaRPr>
        </a:p>
      </xdr:txBody>
    </xdr:sp>
    <xdr:clientData/>
  </xdr:twoCellAnchor>
  <xdr:twoCellAnchor>
    <xdr:from>
      <xdr:col>9</xdr:col>
      <xdr:colOff>329538</xdr:colOff>
      <xdr:row>17</xdr:row>
      <xdr:rowOff>24870</xdr:rowOff>
    </xdr:from>
    <xdr:to>
      <xdr:col>12</xdr:col>
      <xdr:colOff>584624</xdr:colOff>
      <xdr:row>19</xdr:row>
      <xdr:rowOff>27205</xdr:rowOff>
    </xdr:to>
    <xdr:sp macro="" textlink="">
      <xdr:nvSpPr>
        <xdr:cNvPr id="69" name="Rectangle: Rounded Corners 68">
          <a:extLst>
            <a:ext uri="{FF2B5EF4-FFF2-40B4-BE49-F238E27FC236}">
              <a16:creationId xmlns:a16="http://schemas.microsoft.com/office/drawing/2014/main" id="{BDF5CDA1-B509-1AC7-D9F2-D1F12549AD37}"/>
            </a:ext>
          </a:extLst>
        </xdr:cNvPr>
        <xdr:cNvSpPr/>
      </xdr:nvSpPr>
      <xdr:spPr>
        <a:xfrm>
          <a:off x="5854038" y="3083453"/>
          <a:ext cx="2096586" cy="36216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rgbClr val="FFC000"/>
              </a:solidFill>
              <a:latin typeface="Segoe UI" panose="020B0502040204020203" pitchFamily="34" charset="0"/>
              <a:cs typeface="Segoe UI" panose="020B0502040204020203" pitchFamily="34" charset="0"/>
            </a:rPr>
            <a:t>EBITDA</a:t>
          </a:r>
        </a:p>
      </xdr:txBody>
    </xdr:sp>
    <xdr:clientData/>
  </xdr:twoCellAnchor>
  <xdr:twoCellAnchor>
    <xdr:from>
      <xdr:col>9</xdr:col>
      <xdr:colOff>288680</xdr:colOff>
      <xdr:row>17</xdr:row>
      <xdr:rowOff>21564</xdr:rowOff>
    </xdr:from>
    <xdr:to>
      <xdr:col>13</xdr:col>
      <xdr:colOff>20053</xdr:colOff>
      <xdr:row>21</xdr:row>
      <xdr:rowOff>91670</xdr:rowOff>
    </xdr:to>
    <xdr:sp macro="" textlink="SOPL!D69">
      <xdr:nvSpPr>
        <xdr:cNvPr id="70" name="Rectangle: Rounded Corners 69">
          <a:extLst>
            <a:ext uri="{FF2B5EF4-FFF2-40B4-BE49-F238E27FC236}">
              <a16:creationId xmlns:a16="http://schemas.microsoft.com/office/drawing/2014/main" id="{3F3CEA28-B572-3607-7412-7F095F33502D}"/>
            </a:ext>
          </a:extLst>
        </xdr:cNvPr>
        <xdr:cNvSpPr/>
      </xdr:nvSpPr>
      <xdr:spPr>
        <a:xfrm>
          <a:off x="5813180" y="3080147"/>
          <a:ext cx="2186706" cy="789773"/>
        </a:xfrm>
        <a:prstGeom prst="roundRect">
          <a:avLst/>
        </a:prstGeom>
        <a:noFill/>
        <a:ln>
          <a:solidFill>
            <a:srgbClr val="7A1F2B"/>
          </a:solidFill>
        </a:ln>
        <a:effectLst>
          <a:outerShdw blurRad="50800" dist="38100" dir="2700000" algn="tl" rotWithShape="0">
            <a:srgbClr val="7A1F2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610B86BF-28C2-4E85-9C56-1C4C121FECC4}" type="TxLink">
            <a:rPr lang="en-US" sz="2000" b="1" i="0" u="none" strike="noStrike">
              <a:solidFill>
                <a:schemeClr val="bg2"/>
              </a:solidFill>
              <a:latin typeface="Segoe UI" panose="020B0502040204020203" pitchFamily="34" charset="0"/>
              <a:ea typeface="Calibri"/>
              <a:cs typeface="Segoe UI" panose="020B0502040204020203" pitchFamily="34" charset="0"/>
            </a:rPr>
            <a:pPr algn="l"/>
            <a:t>₹ 3,828M</a:t>
          </a:fld>
          <a:endParaRPr lang="en-US" sz="2000" b="1" i="0" u="none" strike="noStrike">
            <a:solidFill>
              <a:schemeClr val="bg2"/>
            </a:solidFill>
            <a:latin typeface="Segoe UI" panose="020B0502040204020203" pitchFamily="34" charset="0"/>
            <a:ea typeface="Calibri"/>
            <a:cs typeface="Segoe UI" panose="020B0502040204020203" pitchFamily="34" charset="0"/>
          </a:endParaRPr>
        </a:p>
      </xdr:txBody>
    </xdr:sp>
    <xdr:clientData/>
  </xdr:twoCellAnchor>
  <xdr:twoCellAnchor>
    <xdr:from>
      <xdr:col>13</xdr:col>
      <xdr:colOff>283884</xdr:colOff>
      <xdr:row>7</xdr:row>
      <xdr:rowOff>32168</xdr:rowOff>
    </xdr:from>
    <xdr:to>
      <xdr:col>16</xdr:col>
      <xdr:colOff>537911</xdr:colOff>
      <xdr:row>9</xdr:row>
      <xdr:rowOff>33428</xdr:rowOff>
    </xdr:to>
    <xdr:sp macro="" textlink="">
      <xdr:nvSpPr>
        <xdr:cNvPr id="73" name="Rectangle: Rounded Corners 72">
          <a:extLst>
            <a:ext uri="{FF2B5EF4-FFF2-40B4-BE49-F238E27FC236}">
              <a16:creationId xmlns:a16="http://schemas.microsoft.com/office/drawing/2014/main" id="{4F7A6C45-E1BC-596E-FE2F-154C4E9578EF}"/>
            </a:ext>
          </a:extLst>
        </xdr:cNvPr>
        <xdr:cNvSpPr/>
      </xdr:nvSpPr>
      <xdr:spPr>
        <a:xfrm>
          <a:off x="8263717" y="1291585"/>
          <a:ext cx="2095527" cy="36109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rgbClr val="FFC000"/>
              </a:solidFill>
              <a:latin typeface="Segoe UI" panose="020B0502040204020203" pitchFamily="34" charset="0"/>
              <a:cs typeface="Segoe UI" panose="020B0502040204020203" pitchFamily="34" charset="0"/>
            </a:rPr>
            <a:t>EBIT </a:t>
          </a:r>
          <a:endParaRPr lang="en-IN" sz="1100" b="1">
            <a:solidFill>
              <a:srgbClr val="FFC000"/>
            </a:solidFill>
            <a:latin typeface="Segoe UI" panose="020B0502040204020203" pitchFamily="34" charset="0"/>
            <a:cs typeface="Segoe UI" panose="020B0502040204020203" pitchFamily="34" charset="0"/>
          </a:endParaRPr>
        </a:p>
      </xdr:txBody>
    </xdr:sp>
    <xdr:clientData/>
  </xdr:twoCellAnchor>
  <xdr:twoCellAnchor>
    <xdr:from>
      <xdr:col>13</xdr:col>
      <xdr:colOff>243417</xdr:colOff>
      <xdr:row>7</xdr:row>
      <xdr:rowOff>28754</xdr:rowOff>
    </xdr:from>
    <xdr:to>
      <xdr:col>16</xdr:col>
      <xdr:colOff>586429</xdr:colOff>
      <xdr:row>11</xdr:row>
      <xdr:rowOff>98860</xdr:rowOff>
    </xdr:to>
    <xdr:sp macro="" textlink="SOPL!C69">
      <xdr:nvSpPr>
        <xdr:cNvPr id="74" name="Rectangle: Rounded Corners 73">
          <a:extLst>
            <a:ext uri="{FF2B5EF4-FFF2-40B4-BE49-F238E27FC236}">
              <a16:creationId xmlns:a16="http://schemas.microsoft.com/office/drawing/2014/main" id="{C5A842DE-4D17-4DF1-16CC-48994490CA40}"/>
            </a:ext>
          </a:extLst>
        </xdr:cNvPr>
        <xdr:cNvSpPr/>
      </xdr:nvSpPr>
      <xdr:spPr>
        <a:xfrm>
          <a:off x="8223250" y="1288171"/>
          <a:ext cx="2184512" cy="789772"/>
        </a:xfrm>
        <a:prstGeom prst="roundRect">
          <a:avLst/>
        </a:prstGeom>
        <a:noFill/>
        <a:ln>
          <a:solidFill>
            <a:srgbClr val="7A1F2B"/>
          </a:solidFill>
        </a:ln>
        <a:effectLst>
          <a:outerShdw blurRad="50800" dist="38100" dir="2700000" algn="tl" rotWithShape="0">
            <a:srgbClr val="7A1F2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F0D87E01-1466-43CE-AB4F-F65FB6181D7F}" type="TxLink">
            <a:rPr lang="en-US" sz="2000" b="1" i="0" u="none" strike="noStrike">
              <a:solidFill>
                <a:schemeClr val="bg2"/>
              </a:solidFill>
              <a:latin typeface="Segoe UI" panose="020B0502040204020203" pitchFamily="34" charset="0"/>
              <a:ea typeface="Calibri"/>
              <a:cs typeface="Segoe UI" panose="020B0502040204020203" pitchFamily="34" charset="0"/>
            </a:rPr>
            <a:pPr algn="l"/>
            <a:t>₹ 2,922M</a:t>
          </a:fld>
          <a:endParaRPr lang="en-US" sz="2000" b="1" i="0" u="none" strike="noStrike">
            <a:solidFill>
              <a:schemeClr val="bg2"/>
            </a:solidFill>
            <a:latin typeface="Segoe UI" panose="020B0502040204020203" pitchFamily="34" charset="0"/>
            <a:ea typeface="Calibri"/>
            <a:cs typeface="Segoe UI" panose="020B0502040204020203" pitchFamily="34" charset="0"/>
          </a:endParaRPr>
        </a:p>
      </xdr:txBody>
    </xdr:sp>
    <xdr:clientData/>
  </xdr:twoCellAnchor>
  <xdr:twoCellAnchor>
    <xdr:from>
      <xdr:col>15</xdr:col>
      <xdr:colOff>498137</xdr:colOff>
      <xdr:row>9</xdr:row>
      <xdr:rowOff>97340</xdr:rowOff>
    </xdr:from>
    <xdr:to>
      <xdr:col>16</xdr:col>
      <xdr:colOff>558452</xdr:colOff>
      <xdr:row>10</xdr:row>
      <xdr:rowOff>143771</xdr:rowOff>
    </xdr:to>
    <xdr:sp macro="" textlink="SOPL!D61">
      <xdr:nvSpPr>
        <xdr:cNvPr id="75" name="Rectangle: Rounded Corners 74">
          <a:extLst>
            <a:ext uri="{FF2B5EF4-FFF2-40B4-BE49-F238E27FC236}">
              <a16:creationId xmlns:a16="http://schemas.microsoft.com/office/drawing/2014/main" id="{90AA1EC0-54DC-EBF7-6664-54AE1007D38F}"/>
            </a:ext>
          </a:extLst>
        </xdr:cNvPr>
        <xdr:cNvSpPr/>
      </xdr:nvSpPr>
      <xdr:spPr>
        <a:xfrm>
          <a:off x="9642137" y="1743260"/>
          <a:ext cx="669915" cy="2293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F87B921-6DDD-4E51-BE96-15525353B5FD}" type="TxLink">
            <a:rPr lang="en-US" sz="900" b="1" i="1" u="none" strike="noStrike">
              <a:solidFill>
                <a:srgbClr val="FF0000"/>
              </a:solidFill>
              <a:latin typeface="Segoe UI" panose="020B0502040204020203" pitchFamily="34" charset="0"/>
              <a:ea typeface="Calibri"/>
              <a:cs typeface="Segoe UI" panose="020B0502040204020203" pitchFamily="34" charset="0"/>
            </a:rPr>
            <a:pPr algn="l"/>
            <a:t>-28.45%</a:t>
          </a:fld>
          <a:endParaRPr lang="en-IN" sz="900" b="1" i="1">
            <a:solidFill>
              <a:srgbClr val="FF0000"/>
            </a:solidFill>
            <a:latin typeface="Segoe UI" panose="020B0502040204020203" pitchFamily="34" charset="0"/>
            <a:cs typeface="Segoe UI" panose="020B0502040204020203" pitchFamily="34" charset="0"/>
          </a:endParaRPr>
        </a:p>
      </xdr:txBody>
    </xdr:sp>
    <xdr:clientData/>
  </xdr:twoCellAnchor>
  <xdr:twoCellAnchor>
    <xdr:from>
      <xdr:col>13</xdr:col>
      <xdr:colOff>260987</xdr:colOff>
      <xdr:row>12</xdr:row>
      <xdr:rowOff>31360</xdr:rowOff>
    </xdr:from>
    <xdr:to>
      <xdr:col>16</xdr:col>
      <xdr:colOff>517122</xdr:colOff>
      <xdr:row>14</xdr:row>
      <xdr:rowOff>32621</xdr:rowOff>
    </xdr:to>
    <xdr:sp macro="" textlink="">
      <xdr:nvSpPr>
        <xdr:cNvPr id="77" name="Rectangle: Rounded Corners 76">
          <a:extLst>
            <a:ext uri="{FF2B5EF4-FFF2-40B4-BE49-F238E27FC236}">
              <a16:creationId xmlns:a16="http://schemas.microsoft.com/office/drawing/2014/main" id="{C29071D6-5407-FE5E-CC3F-24ED960BFD94}"/>
            </a:ext>
          </a:extLst>
        </xdr:cNvPr>
        <xdr:cNvSpPr/>
      </xdr:nvSpPr>
      <xdr:spPr>
        <a:xfrm>
          <a:off x="8240820" y="2190360"/>
          <a:ext cx="2097635" cy="36109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rgbClr val="FFC000"/>
              </a:solidFill>
              <a:latin typeface="Segoe UI" panose="020B0502040204020203" pitchFamily="34" charset="0"/>
              <a:cs typeface="Segoe UI" panose="020B0502040204020203" pitchFamily="34" charset="0"/>
            </a:rPr>
            <a:t>EBT</a:t>
          </a:r>
          <a:r>
            <a:rPr lang="en-IN" sz="1400" b="1" baseline="0">
              <a:solidFill>
                <a:srgbClr val="FFC000"/>
              </a:solidFill>
              <a:latin typeface="Segoe UI" panose="020B0502040204020203" pitchFamily="34" charset="0"/>
              <a:cs typeface="Segoe UI" panose="020B0502040204020203" pitchFamily="34" charset="0"/>
            </a:rPr>
            <a:t> </a:t>
          </a:r>
          <a:endParaRPr lang="en-IN" sz="1000" b="1">
            <a:solidFill>
              <a:srgbClr val="FFC000"/>
            </a:solidFill>
            <a:latin typeface="Segoe UI" panose="020B0502040204020203" pitchFamily="34" charset="0"/>
            <a:cs typeface="Segoe UI" panose="020B0502040204020203" pitchFamily="34" charset="0"/>
          </a:endParaRPr>
        </a:p>
      </xdr:txBody>
    </xdr:sp>
    <xdr:clientData/>
  </xdr:twoCellAnchor>
  <xdr:twoCellAnchor>
    <xdr:from>
      <xdr:col>13</xdr:col>
      <xdr:colOff>220479</xdr:colOff>
      <xdr:row>12</xdr:row>
      <xdr:rowOff>27946</xdr:rowOff>
    </xdr:from>
    <xdr:to>
      <xdr:col>16</xdr:col>
      <xdr:colOff>565688</xdr:colOff>
      <xdr:row>16</xdr:row>
      <xdr:rowOff>98051</xdr:rowOff>
    </xdr:to>
    <xdr:sp macro="" textlink="SOPL!B69">
      <xdr:nvSpPr>
        <xdr:cNvPr id="78" name="Rectangle: Rounded Corners 77">
          <a:extLst>
            <a:ext uri="{FF2B5EF4-FFF2-40B4-BE49-F238E27FC236}">
              <a16:creationId xmlns:a16="http://schemas.microsoft.com/office/drawing/2014/main" id="{297E1546-195B-0824-5E8C-A5D3B5624948}"/>
            </a:ext>
          </a:extLst>
        </xdr:cNvPr>
        <xdr:cNvSpPr/>
      </xdr:nvSpPr>
      <xdr:spPr>
        <a:xfrm>
          <a:off x="8200312" y="2186946"/>
          <a:ext cx="2186709" cy="789772"/>
        </a:xfrm>
        <a:prstGeom prst="roundRect">
          <a:avLst/>
        </a:prstGeom>
        <a:noFill/>
        <a:ln>
          <a:solidFill>
            <a:srgbClr val="7A1F2B"/>
          </a:solidFill>
        </a:ln>
        <a:effectLst>
          <a:outerShdw blurRad="50800" dist="38100" dir="2700000" algn="tl" rotWithShape="0">
            <a:srgbClr val="7A1F2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61862D5E-4412-4D02-BF5B-135BFB73A20A}" type="TxLink">
            <a:rPr lang="en-US" sz="2000" b="1" i="0" u="none" strike="noStrike">
              <a:solidFill>
                <a:schemeClr val="bg2"/>
              </a:solidFill>
              <a:latin typeface="Segoe UI" panose="020B0502040204020203" pitchFamily="34" charset="0"/>
              <a:ea typeface="Calibri"/>
              <a:cs typeface="Segoe UI" panose="020B0502040204020203" pitchFamily="34" charset="0"/>
            </a:rPr>
            <a:pPr algn="l"/>
            <a:t>₹ 644M</a:t>
          </a:fld>
          <a:endParaRPr lang="en-US" sz="2000" b="1" i="0" u="none" strike="noStrike">
            <a:solidFill>
              <a:schemeClr val="bg2"/>
            </a:solidFill>
            <a:latin typeface="Segoe UI" panose="020B0502040204020203" pitchFamily="34" charset="0"/>
            <a:ea typeface="Calibri"/>
            <a:cs typeface="Segoe UI" panose="020B0502040204020203" pitchFamily="34" charset="0"/>
          </a:endParaRPr>
        </a:p>
      </xdr:txBody>
    </xdr:sp>
    <xdr:clientData/>
  </xdr:twoCellAnchor>
  <xdr:twoCellAnchor>
    <xdr:from>
      <xdr:col>15</xdr:col>
      <xdr:colOff>498137</xdr:colOff>
      <xdr:row>14</xdr:row>
      <xdr:rowOff>89673</xdr:rowOff>
    </xdr:from>
    <xdr:to>
      <xdr:col>16</xdr:col>
      <xdr:colOff>561724</xdr:colOff>
      <xdr:row>15</xdr:row>
      <xdr:rowOff>136104</xdr:rowOff>
    </xdr:to>
    <xdr:sp macro="" textlink="SOPL!E61">
      <xdr:nvSpPr>
        <xdr:cNvPr id="79" name="Rectangle: Rounded Corners 78">
          <a:extLst>
            <a:ext uri="{FF2B5EF4-FFF2-40B4-BE49-F238E27FC236}">
              <a16:creationId xmlns:a16="http://schemas.microsoft.com/office/drawing/2014/main" id="{F350A3FF-0C36-0464-16CC-73A491250E04}"/>
            </a:ext>
          </a:extLst>
        </xdr:cNvPr>
        <xdr:cNvSpPr/>
      </xdr:nvSpPr>
      <xdr:spPr>
        <a:xfrm>
          <a:off x="9642137" y="2649993"/>
          <a:ext cx="673187" cy="2293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5A8190A5-8CDB-4B1C-8783-40E28186E4E6}" type="TxLink">
            <a:rPr lang="en-US" sz="900" b="1" i="1" u="none" strike="noStrike">
              <a:solidFill>
                <a:srgbClr val="FF0000"/>
              </a:solidFill>
              <a:latin typeface="Segoe UI" panose="020B0502040204020203" pitchFamily="34" charset="0"/>
              <a:ea typeface="Calibri"/>
              <a:cs typeface="Segoe UI" panose="020B0502040204020203" pitchFamily="34" charset="0"/>
            </a:rPr>
            <a:pPr algn="l"/>
            <a:t>-35.53%</a:t>
          </a:fld>
          <a:endParaRPr lang="en-IN" sz="900" b="1" i="1">
            <a:solidFill>
              <a:srgbClr val="FF0000"/>
            </a:solidFill>
            <a:latin typeface="Segoe UI" panose="020B0502040204020203" pitchFamily="34" charset="0"/>
            <a:cs typeface="Segoe UI" panose="020B0502040204020203" pitchFamily="34" charset="0"/>
          </a:endParaRPr>
        </a:p>
      </xdr:txBody>
    </xdr:sp>
    <xdr:clientData/>
  </xdr:twoCellAnchor>
  <xdr:twoCellAnchor>
    <xdr:from>
      <xdr:col>13</xdr:col>
      <xdr:colOff>238040</xdr:colOff>
      <xdr:row>17</xdr:row>
      <xdr:rowOff>23399</xdr:rowOff>
    </xdr:from>
    <xdr:to>
      <xdr:col>16</xdr:col>
      <xdr:colOff>494667</xdr:colOff>
      <xdr:row>19</xdr:row>
      <xdr:rowOff>25316</xdr:rowOff>
    </xdr:to>
    <xdr:sp macro="" textlink="">
      <xdr:nvSpPr>
        <xdr:cNvPr id="81" name="Rectangle: Rounded Corners 80">
          <a:extLst>
            <a:ext uri="{FF2B5EF4-FFF2-40B4-BE49-F238E27FC236}">
              <a16:creationId xmlns:a16="http://schemas.microsoft.com/office/drawing/2014/main" id="{E02961F6-DB2A-1B07-A2FD-E31E63CC7C1A}"/>
            </a:ext>
          </a:extLst>
        </xdr:cNvPr>
        <xdr:cNvSpPr/>
      </xdr:nvSpPr>
      <xdr:spPr>
        <a:xfrm>
          <a:off x="8217873" y="3081982"/>
          <a:ext cx="2098127" cy="36175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rgbClr val="FFC000"/>
              </a:solidFill>
              <a:latin typeface="Segoe UI" panose="020B0502040204020203" pitchFamily="34" charset="0"/>
              <a:cs typeface="Segoe UI" panose="020B0502040204020203" pitchFamily="34" charset="0"/>
            </a:rPr>
            <a:t>PAT </a:t>
          </a:r>
        </a:p>
      </xdr:txBody>
    </xdr:sp>
    <xdr:clientData/>
  </xdr:twoCellAnchor>
  <xdr:twoCellAnchor>
    <xdr:from>
      <xdr:col>13</xdr:col>
      <xdr:colOff>197383</xdr:colOff>
      <xdr:row>17</xdr:row>
      <xdr:rowOff>20051</xdr:rowOff>
    </xdr:from>
    <xdr:to>
      <xdr:col>16</xdr:col>
      <xdr:colOff>543412</xdr:colOff>
      <xdr:row>21</xdr:row>
      <xdr:rowOff>90157</xdr:rowOff>
    </xdr:to>
    <xdr:sp macro="" textlink="SOPL!A69">
      <xdr:nvSpPr>
        <xdr:cNvPr id="82" name="Rectangle: Rounded Corners 81">
          <a:extLst>
            <a:ext uri="{FF2B5EF4-FFF2-40B4-BE49-F238E27FC236}">
              <a16:creationId xmlns:a16="http://schemas.microsoft.com/office/drawing/2014/main" id="{DECBDFCE-5E5A-898C-31D2-91E997C7EC04}"/>
            </a:ext>
          </a:extLst>
        </xdr:cNvPr>
        <xdr:cNvSpPr/>
      </xdr:nvSpPr>
      <xdr:spPr>
        <a:xfrm>
          <a:off x="8177216" y="3078634"/>
          <a:ext cx="2187529" cy="789773"/>
        </a:xfrm>
        <a:prstGeom prst="roundRect">
          <a:avLst/>
        </a:prstGeom>
        <a:noFill/>
        <a:ln>
          <a:solidFill>
            <a:srgbClr val="7A1F2B"/>
          </a:solidFill>
        </a:ln>
        <a:effectLst>
          <a:outerShdw blurRad="50800" dist="38100" dir="2700000" algn="tl" rotWithShape="0">
            <a:srgbClr val="7A1F2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ADA753FF-FF3A-4608-B17B-42C1959F4424}" type="TxLink">
            <a:rPr lang="en-US" sz="2000" b="1" i="0" u="none" strike="noStrike">
              <a:solidFill>
                <a:schemeClr val="bg2"/>
              </a:solidFill>
              <a:latin typeface="Segoe UI" panose="020B0502040204020203" pitchFamily="34" charset="0"/>
              <a:ea typeface="Calibri"/>
              <a:cs typeface="Segoe UI" panose="020B0502040204020203" pitchFamily="34" charset="0"/>
            </a:rPr>
            <a:pPr algn="l"/>
            <a:t>₹ 449M</a:t>
          </a:fld>
          <a:endParaRPr lang="en-US" sz="2000" b="1" i="0" u="none" strike="noStrike">
            <a:solidFill>
              <a:schemeClr val="bg2"/>
            </a:solidFill>
            <a:latin typeface="Segoe UI" panose="020B0502040204020203" pitchFamily="34" charset="0"/>
            <a:ea typeface="Calibri"/>
            <a:cs typeface="Segoe UI" panose="020B0502040204020203" pitchFamily="34" charset="0"/>
          </a:endParaRPr>
        </a:p>
      </xdr:txBody>
    </xdr:sp>
    <xdr:clientData/>
  </xdr:twoCellAnchor>
  <xdr:twoCellAnchor>
    <xdr:from>
      <xdr:col>15</xdr:col>
      <xdr:colOff>498137</xdr:colOff>
      <xdr:row>19</xdr:row>
      <xdr:rowOff>63107</xdr:rowOff>
    </xdr:from>
    <xdr:to>
      <xdr:col>16</xdr:col>
      <xdr:colOff>558988</xdr:colOff>
      <xdr:row>20</xdr:row>
      <xdr:rowOff>108977</xdr:rowOff>
    </xdr:to>
    <xdr:sp macro="" textlink="SOPL!F61">
      <xdr:nvSpPr>
        <xdr:cNvPr id="83" name="Rectangle: Rounded Corners 82">
          <a:extLst>
            <a:ext uri="{FF2B5EF4-FFF2-40B4-BE49-F238E27FC236}">
              <a16:creationId xmlns:a16="http://schemas.microsoft.com/office/drawing/2014/main" id="{3A603741-C8E0-4973-7F88-89D465524547}"/>
            </a:ext>
          </a:extLst>
        </xdr:cNvPr>
        <xdr:cNvSpPr/>
      </xdr:nvSpPr>
      <xdr:spPr>
        <a:xfrm>
          <a:off x="9642137" y="3537827"/>
          <a:ext cx="670451" cy="2287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47AAA48C-4E28-4281-855B-B88FC77C54CC}" type="TxLink">
            <a:rPr lang="en-US" sz="900" b="1" i="1" u="none" strike="noStrike">
              <a:solidFill>
                <a:srgbClr val="FF0000"/>
              </a:solidFill>
              <a:latin typeface="Segoe UI" panose="020B0502040204020203" pitchFamily="34" charset="0"/>
              <a:ea typeface="Calibri"/>
              <a:cs typeface="Segoe UI" panose="020B0502040204020203" pitchFamily="34" charset="0"/>
            </a:rPr>
            <a:pPr algn="l"/>
            <a:t>-70.65%</a:t>
          </a:fld>
          <a:endParaRPr lang="en-IN" sz="900" b="1" i="1">
            <a:solidFill>
              <a:srgbClr val="FF0000"/>
            </a:solidFill>
            <a:latin typeface="Segoe UI" panose="020B0502040204020203" pitchFamily="34" charset="0"/>
            <a:cs typeface="Segoe UI" panose="020B0502040204020203" pitchFamily="34" charset="0"/>
          </a:endParaRPr>
        </a:p>
      </xdr:txBody>
    </xdr:sp>
    <xdr:clientData/>
  </xdr:twoCellAnchor>
  <xdr:twoCellAnchor>
    <xdr:from>
      <xdr:col>17</xdr:col>
      <xdr:colOff>152095</xdr:colOff>
      <xdr:row>7</xdr:row>
      <xdr:rowOff>28754</xdr:rowOff>
    </xdr:from>
    <xdr:to>
      <xdr:col>20</xdr:col>
      <xdr:colOff>559306</xdr:colOff>
      <xdr:row>11</xdr:row>
      <xdr:rowOff>98860</xdr:rowOff>
    </xdr:to>
    <xdr:grpSp>
      <xdr:nvGrpSpPr>
        <xdr:cNvPr id="84" name="Group 83">
          <a:extLst>
            <a:ext uri="{FF2B5EF4-FFF2-40B4-BE49-F238E27FC236}">
              <a16:creationId xmlns:a16="http://schemas.microsoft.com/office/drawing/2014/main" id="{DB8BAAE6-9A88-49AB-488D-8C1E73C72D67}"/>
            </a:ext>
          </a:extLst>
        </xdr:cNvPr>
        <xdr:cNvGrpSpPr/>
      </xdr:nvGrpSpPr>
      <xdr:grpSpPr>
        <a:xfrm>
          <a:off x="10515295" y="1308914"/>
          <a:ext cx="2236011" cy="801626"/>
          <a:chOff x="5716937" y="1082908"/>
          <a:chExt cx="2231053" cy="773989"/>
        </a:xfrm>
      </xdr:grpSpPr>
      <xdr:sp macro="" textlink="">
        <xdr:nvSpPr>
          <xdr:cNvPr id="85" name="Rectangle: Rounded Corners 84">
            <a:extLst>
              <a:ext uri="{FF2B5EF4-FFF2-40B4-BE49-F238E27FC236}">
                <a16:creationId xmlns:a16="http://schemas.microsoft.com/office/drawing/2014/main" id="{D56B8130-A8DD-4299-48C2-6648C828594F}"/>
              </a:ext>
            </a:extLst>
          </xdr:cNvPr>
          <xdr:cNvSpPr/>
        </xdr:nvSpPr>
        <xdr:spPr>
          <a:xfrm>
            <a:off x="5758645" y="1086177"/>
            <a:ext cx="2139340" cy="35463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rgbClr val="FFC000"/>
                </a:solidFill>
                <a:latin typeface="Segoe UI" panose="020B0502040204020203" pitchFamily="34" charset="0"/>
                <a:cs typeface="Segoe UI" panose="020B0502040204020203" pitchFamily="34" charset="0"/>
              </a:rPr>
              <a:t>WORKING CAPITAL CYCLE</a:t>
            </a:r>
          </a:p>
        </xdr:txBody>
      </xdr:sp>
      <xdr:sp macro="" textlink="SOPL!K74">
        <xdr:nvSpPr>
          <xdr:cNvPr id="86" name="Rectangle: Rounded Corners 85">
            <a:extLst>
              <a:ext uri="{FF2B5EF4-FFF2-40B4-BE49-F238E27FC236}">
                <a16:creationId xmlns:a16="http://schemas.microsoft.com/office/drawing/2014/main" id="{9158B332-B5E4-5FFE-ACDB-D4927FE982A6}"/>
              </a:ext>
            </a:extLst>
          </xdr:cNvPr>
          <xdr:cNvSpPr/>
        </xdr:nvSpPr>
        <xdr:spPr>
          <a:xfrm>
            <a:off x="5716937" y="1082908"/>
            <a:ext cx="2231053" cy="773989"/>
          </a:xfrm>
          <a:prstGeom prst="roundRect">
            <a:avLst/>
          </a:prstGeom>
          <a:noFill/>
          <a:ln>
            <a:solidFill>
              <a:srgbClr val="7A1F2B"/>
            </a:solidFill>
          </a:ln>
          <a:effectLst>
            <a:outerShdw blurRad="50800" dist="38100" dir="2700000" algn="tl" rotWithShape="0">
              <a:srgbClr val="7A1F2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F2101815-2759-48FE-85DC-231D162D3C6A}" type="TxLink">
              <a:rPr lang="en-US" sz="2000" b="1" i="0" u="none" strike="noStrike">
                <a:solidFill>
                  <a:schemeClr val="bg2"/>
                </a:solidFill>
                <a:latin typeface="Segoe UI" panose="020B0502040204020203" pitchFamily="34" charset="0"/>
                <a:ea typeface="Calibri"/>
                <a:cs typeface="Segoe UI" panose="020B0502040204020203" pitchFamily="34" charset="0"/>
              </a:rPr>
              <a:pPr algn="l"/>
              <a:t>~191 days</a:t>
            </a:fld>
            <a:endParaRPr lang="en-US" sz="2000" b="1" i="0" u="none" strike="noStrike">
              <a:solidFill>
                <a:schemeClr val="bg2"/>
              </a:solidFill>
              <a:latin typeface="Segoe UI" panose="020B0502040204020203" pitchFamily="34" charset="0"/>
              <a:ea typeface="Calibri"/>
              <a:cs typeface="Segoe UI" panose="020B0502040204020203" pitchFamily="34" charset="0"/>
            </a:endParaRPr>
          </a:p>
        </xdr:txBody>
      </xdr:sp>
    </xdr:grpSp>
    <xdr:clientData/>
  </xdr:twoCellAnchor>
  <xdr:twoCellAnchor>
    <xdr:from>
      <xdr:col>17</xdr:col>
      <xdr:colOff>150378</xdr:colOff>
      <xdr:row>12</xdr:row>
      <xdr:rowOff>27946</xdr:rowOff>
    </xdr:from>
    <xdr:to>
      <xdr:col>20</xdr:col>
      <xdr:colOff>557589</xdr:colOff>
      <xdr:row>16</xdr:row>
      <xdr:rowOff>98051</xdr:rowOff>
    </xdr:to>
    <xdr:grpSp>
      <xdr:nvGrpSpPr>
        <xdr:cNvPr id="88" name="Group 87">
          <a:extLst>
            <a:ext uri="{FF2B5EF4-FFF2-40B4-BE49-F238E27FC236}">
              <a16:creationId xmlns:a16="http://schemas.microsoft.com/office/drawing/2014/main" id="{1C9F3CA4-D44D-7188-0186-B248E3CD8664}"/>
            </a:ext>
          </a:extLst>
        </xdr:cNvPr>
        <xdr:cNvGrpSpPr/>
      </xdr:nvGrpSpPr>
      <xdr:grpSpPr>
        <a:xfrm>
          <a:off x="10513578" y="2222506"/>
          <a:ext cx="2236011" cy="801625"/>
          <a:chOff x="5716937" y="1082908"/>
          <a:chExt cx="2231053" cy="773989"/>
        </a:xfrm>
      </xdr:grpSpPr>
      <xdr:sp macro="" textlink="">
        <xdr:nvSpPr>
          <xdr:cNvPr id="89" name="Rectangle: Rounded Corners 88">
            <a:extLst>
              <a:ext uri="{FF2B5EF4-FFF2-40B4-BE49-F238E27FC236}">
                <a16:creationId xmlns:a16="http://schemas.microsoft.com/office/drawing/2014/main" id="{7FFE925B-B5D5-DA90-C8F9-D458915043A6}"/>
              </a:ext>
            </a:extLst>
          </xdr:cNvPr>
          <xdr:cNvSpPr/>
        </xdr:nvSpPr>
        <xdr:spPr>
          <a:xfrm>
            <a:off x="5758645" y="1086177"/>
            <a:ext cx="2139340" cy="35463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rgbClr val="FFC000"/>
                </a:solidFill>
                <a:latin typeface="Segoe UI" panose="020B0502040204020203" pitchFamily="34" charset="0"/>
                <a:cs typeface="Segoe UI" panose="020B0502040204020203" pitchFamily="34" charset="0"/>
              </a:rPr>
              <a:t>GEARING RATIO </a:t>
            </a:r>
            <a:r>
              <a:rPr lang="en-IN" sz="1000" b="1">
                <a:solidFill>
                  <a:srgbClr val="FFC000"/>
                </a:solidFill>
                <a:latin typeface="Segoe UI" panose="020B0502040204020203" pitchFamily="34" charset="0"/>
                <a:cs typeface="Segoe UI" panose="020B0502040204020203" pitchFamily="34" charset="0"/>
              </a:rPr>
              <a:t>(D/E)</a:t>
            </a:r>
          </a:p>
        </xdr:txBody>
      </xdr:sp>
      <xdr:sp macro="" textlink="SOPL!O74">
        <xdr:nvSpPr>
          <xdr:cNvPr id="90" name="Rectangle: Rounded Corners 89">
            <a:extLst>
              <a:ext uri="{FF2B5EF4-FFF2-40B4-BE49-F238E27FC236}">
                <a16:creationId xmlns:a16="http://schemas.microsoft.com/office/drawing/2014/main" id="{CEFD42F9-F0D1-E097-9666-9111A46D4141}"/>
              </a:ext>
            </a:extLst>
          </xdr:cNvPr>
          <xdr:cNvSpPr/>
        </xdr:nvSpPr>
        <xdr:spPr>
          <a:xfrm>
            <a:off x="5716937" y="1082908"/>
            <a:ext cx="2231053" cy="773989"/>
          </a:xfrm>
          <a:prstGeom prst="roundRect">
            <a:avLst/>
          </a:prstGeom>
          <a:noFill/>
          <a:ln>
            <a:solidFill>
              <a:srgbClr val="7A1F2B"/>
            </a:solidFill>
          </a:ln>
          <a:effectLst>
            <a:outerShdw blurRad="50800" dist="38100" dir="2700000" algn="tl" rotWithShape="0">
              <a:srgbClr val="7A1F2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D68FA41E-3309-4BD3-9AB6-C66717C4C18B}" type="TxLink">
              <a:rPr lang="en-US" sz="2000" b="1" i="0" u="none" strike="noStrike">
                <a:solidFill>
                  <a:schemeClr val="bg2"/>
                </a:solidFill>
                <a:latin typeface="Segoe UI" panose="020B0502040204020203" pitchFamily="34" charset="0"/>
                <a:ea typeface="Calibri"/>
                <a:cs typeface="Segoe UI" panose="020B0502040204020203" pitchFamily="34" charset="0"/>
              </a:rPr>
              <a:pPr algn="l"/>
              <a:t>0.04x</a:t>
            </a:fld>
            <a:endParaRPr lang="en-US" sz="2000" b="1" i="0" u="none" strike="noStrike">
              <a:solidFill>
                <a:schemeClr val="bg2"/>
              </a:solidFill>
              <a:latin typeface="Segoe UI" panose="020B0502040204020203" pitchFamily="34" charset="0"/>
              <a:ea typeface="Calibri"/>
              <a:cs typeface="Segoe UI" panose="020B0502040204020203" pitchFamily="34" charset="0"/>
            </a:endParaRPr>
          </a:p>
        </xdr:txBody>
      </xdr:sp>
    </xdr:grpSp>
    <xdr:clientData/>
  </xdr:twoCellAnchor>
  <xdr:twoCellAnchor>
    <xdr:from>
      <xdr:col>21</xdr:col>
      <xdr:colOff>553817</xdr:colOff>
      <xdr:row>22</xdr:row>
      <xdr:rowOff>50790</xdr:rowOff>
    </xdr:from>
    <xdr:to>
      <xdr:col>24</xdr:col>
      <xdr:colOff>603566</xdr:colOff>
      <xdr:row>26</xdr:row>
      <xdr:rowOff>117610</xdr:rowOff>
    </xdr:to>
    <xdr:grpSp>
      <xdr:nvGrpSpPr>
        <xdr:cNvPr id="92" name="Group 91">
          <a:extLst>
            <a:ext uri="{FF2B5EF4-FFF2-40B4-BE49-F238E27FC236}">
              <a16:creationId xmlns:a16="http://schemas.microsoft.com/office/drawing/2014/main" id="{B39D974B-B376-65BD-5053-706F11459131}"/>
            </a:ext>
          </a:extLst>
        </xdr:cNvPr>
        <xdr:cNvGrpSpPr/>
      </xdr:nvGrpSpPr>
      <xdr:grpSpPr>
        <a:xfrm>
          <a:off x="13355417" y="4074150"/>
          <a:ext cx="1878549" cy="798340"/>
          <a:chOff x="5716937" y="1082908"/>
          <a:chExt cx="2472482" cy="773989"/>
        </a:xfrm>
      </xdr:grpSpPr>
      <xdr:sp macro="" textlink="">
        <xdr:nvSpPr>
          <xdr:cNvPr id="93" name="Rectangle: Rounded Corners 92">
            <a:extLst>
              <a:ext uri="{FF2B5EF4-FFF2-40B4-BE49-F238E27FC236}">
                <a16:creationId xmlns:a16="http://schemas.microsoft.com/office/drawing/2014/main" id="{C4D2960C-29D5-D3C7-E6F6-9812C1CCEDAD}"/>
              </a:ext>
            </a:extLst>
          </xdr:cNvPr>
          <xdr:cNvSpPr/>
        </xdr:nvSpPr>
        <xdr:spPr>
          <a:xfrm>
            <a:off x="5758645" y="1086177"/>
            <a:ext cx="2430774" cy="35463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rgbClr val="FFC000"/>
                </a:solidFill>
                <a:latin typeface="Segoe UI" panose="020B0502040204020203" pitchFamily="34" charset="0"/>
                <a:cs typeface="Segoe UI" panose="020B0502040204020203" pitchFamily="34" charset="0"/>
              </a:rPr>
              <a:t>INTEREST COVER</a:t>
            </a:r>
          </a:p>
        </xdr:txBody>
      </xdr:sp>
      <xdr:sp macro="" textlink="SOPL!C74">
        <xdr:nvSpPr>
          <xdr:cNvPr id="94" name="Rectangle: Rounded Corners 93">
            <a:extLst>
              <a:ext uri="{FF2B5EF4-FFF2-40B4-BE49-F238E27FC236}">
                <a16:creationId xmlns:a16="http://schemas.microsoft.com/office/drawing/2014/main" id="{B9DB99C5-DF61-CE0E-33F3-646332D3C05C}"/>
              </a:ext>
            </a:extLst>
          </xdr:cNvPr>
          <xdr:cNvSpPr/>
        </xdr:nvSpPr>
        <xdr:spPr>
          <a:xfrm>
            <a:off x="5716937" y="1082908"/>
            <a:ext cx="2231053" cy="773989"/>
          </a:xfrm>
          <a:prstGeom prst="roundRect">
            <a:avLst/>
          </a:prstGeom>
          <a:noFill/>
          <a:ln>
            <a:solidFill>
              <a:srgbClr val="7A1F2B"/>
            </a:solidFill>
          </a:ln>
          <a:effectLst>
            <a:outerShdw blurRad="50800" dist="38100" dir="2700000" algn="tl" rotWithShape="0">
              <a:srgbClr val="7A1F2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52F82FC0-43E3-4F9E-BF1C-C1EF462AB949}" type="TxLink">
              <a:rPr lang="en-US" sz="2000" b="1" i="0" u="none" strike="noStrike">
                <a:solidFill>
                  <a:schemeClr val="bg2"/>
                </a:solidFill>
                <a:latin typeface="Segoe UI" panose="020B0502040204020203" pitchFamily="34" charset="0"/>
                <a:ea typeface="Calibri"/>
                <a:cs typeface="Segoe UI" panose="020B0502040204020203" pitchFamily="34" charset="0"/>
              </a:rPr>
              <a:pPr algn="l"/>
              <a:t>1.28x</a:t>
            </a:fld>
            <a:endParaRPr lang="en-US" sz="2000" b="1" i="0" u="none" strike="noStrike">
              <a:solidFill>
                <a:schemeClr val="bg2"/>
              </a:solidFill>
              <a:latin typeface="Segoe UI" panose="020B0502040204020203" pitchFamily="34" charset="0"/>
              <a:ea typeface="Calibri"/>
              <a:cs typeface="Segoe UI" panose="020B0502040204020203" pitchFamily="34" charset="0"/>
            </a:endParaRPr>
          </a:p>
        </xdr:txBody>
      </xdr:sp>
    </xdr:grpSp>
    <xdr:clientData/>
  </xdr:twoCellAnchor>
  <xdr:twoCellAnchor>
    <xdr:from>
      <xdr:col>11</xdr:col>
      <xdr:colOff>514529</xdr:colOff>
      <xdr:row>19</xdr:row>
      <xdr:rowOff>63107</xdr:rowOff>
    </xdr:from>
    <xdr:to>
      <xdr:col>13</xdr:col>
      <xdr:colOff>117842</xdr:colOff>
      <xdr:row>20</xdr:row>
      <xdr:rowOff>125219</xdr:rowOff>
    </xdr:to>
    <xdr:sp macro="" textlink="SOPL!J74">
      <xdr:nvSpPr>
        <xdr:cNvPr id="96" name="Rectangle: Rounded Corners 95">
          <a:extLst>
            <a:ext uri="{FF2B5EF4-FFF2-40B4-BE49-F238E27FC236}">
              <a16:creationId xmlns:a16="http://schemas.microsoft.com/office/drawing/2014/main" id="{12FEE3FF-B462-53D1-C218-83BD1640C5A4}"/>
            </a:ext>
          </a:extLst>
        </xdr:cNvPr>
        <xdr:cNvSpPr/>
      </xdr:nvSpPr>
      <xdr:spPr>
        <a:xfrm>
          <a:off x="7220129" y="3537827"/>
          <a:ext cx="822513" cy="24499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69BAAAA7-A61D-4AA7-9912-316D91003EFD}" type="TxLink">
            <a:rPr lang="en-US" sz="900" b="1" i="1" u="none" strike="noStrike">
              <a:solidFill>
                <a:srgbClr val="00B050"/>
              </a:solidFill>
              <a:latin typeface="Segoe UI" panose="020B0502040204020203" pitchFamily="34" charset="0"/>
              <a:ea typeface="Calibri"/>
              <a:cs typeface="Segoe UI" panose="020B0502040204020203" pitchFamily="34" charset="0"/>
            </a:rPr>
            <a:pPr algn="l"/>
            <a:t> </a:t>
          </a:fld>
          <a:endParaRPr lang="en-IN" sz="900" b="1" i="1">
            <a:solidFill>
              <a:srgbClr val="00B050"/>
            </a:solidFill>
            <a:latin typeface="Segoe UI" panose="020B0502040204020203" pitchFamily="34" charset="0"/>
            <a:cs typeface="Segoe UI" panose="020B0502040204020203" pitchFamily="34" charset="0"/>
          </a:endParaRPr>
        </a:p>
      </xdr:txBody>
    </xdr:sp>
    <xdr:clientData/>
  </xdr:twoCellAnchor>
  <xdr:twoCellAnchor>
    <xdr:from>
      <xdr:col>15</xdr:col>
      <xdr:colOff>445383</xdr:colOff>
      <xdr:row>14</xdr:row>
      <xdr:rowOff>89673</xdr:rowOff>
    </xdr:from>
    <xdr:to>
      <xdr:col>17</xdr:col>
      <xdr:colOff>11041</xdr:colOff>
      <xdr:row>15</xdr:row>
      <xdr:rowOff>151122</xdr:rowOff>
    </xdr:to>
    <xdr:sp macro="" textlink="SOPL!M74">
      <xdr:nvSpPr>
        <xdr:cNvPr id="97" name="Rectangle: Rounded Corners 96">
          <a:extLst>
            <a:ext uri="{FF2B5EF4-FFF2-40B4-BE49-F238E27FC236}">
              <a16:creationId xmlns:a16="http://schemas.microsoft.com/office/drawing/2014/main" id="{6EA87DB0-A191-1869-F35C-7DE05F5D2198}"/>
            </a:ext>
          </a:extLst>
        </xdr:cNvPr>
        <xdr:cNvSpPr/>
      </xdr:nvSpPr>
      <xdr:spPr>
        <a:xfrm>
          <a:off x="9589383" y="2649993"/>
          <a:ext cx="784858" cy="24432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8A153819-1000-4743-8D43-8278A829DC2A}" type="TxLink">
            <a:rPr lang="en-US" sz="900" b="1" i="1" u="none" strike="noStrike">
              <a:solidFill>
                <a:srgbClr val="00B050"/>
              </a:solidFill>
              <a:latin typeface="Segoe UI" panose="020B0502040204020203" pitchFamily="34" charset="0"/>
              <a:ea typeface="Calibri"/>
              <a:cs typeface="Segoe UI" panose="020B0502040204020203" pitchFamily="34" charset="0"/>
            </a:rPr>
            <a:pPr algn="l"/>
            <a:t> </a:t>
          </a:fld>
          <a:endParaRPr lang="en-IN" sz="900" b="1" i="1">
            <a:solidFill>
              <a:srgbClr val="00B050"/>
            </a:solidFill>
            <a:latin typeface="Segoe UI" panose="020B0502040204020203" pitchFamily="34" charset="0"/>
            <a:cs typeface="Segoe UI" panose="020B0502040204020203" pitchFamily="34" charset="0"/>
          </a:endParaRPr>
        </a:p>
      </xdr:txBody>
    </xdr:sp>
    <xdr:clientData/>
  </xdr:twoCellAnchor>
  <xdr:twoCellAnchor>
    <xdr:from>
      <xdr:col>15</xdr:col>
      <xdr:colOff>445384</xdr:colOff>
      <xdr:row>19</xdr:row>
      <xdr:rowOff>63107</xdr:rowOff>
    </xdr:from>
    <xdr:to>
      <xdr:col>17</xdr:col>
      <xdr:colOff>14861</xdr:colOff>
      <xdr:row>20</xdr:row>
      <xdr:rowOff>126273</xdr:rowOff>
    </xdr:to>
    <xdr:sp macro="" textlink="SOPL!N74">
      <xdr:nvSpPr>
        <xdr:cNvPr id="100" name="Rectangle: Rounded Corners 99">
          <a:extLst>
            <a:ext uri="{FF2B5EF4-FFF2-40B4-BE49-F238E27FC236}">
              <a16:creationId xmlns:a16="http://schemas.microsoft.com/office/drawing/2014/main" id="{8BE7C1CF-9CAD-0914-ABD2-E13C109BE512}"/>
            </a:ext>
          </a:extLst>
        </xdr:cNvPr>
        <xdr:cNvSpPr/>
      </xdr:nvSpPr>
      <xdr:spPr>
        <a:xfrm>
          <a:off x="9589384" y="3537827"/>
          <a:ext cx="788677" cy="24604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06193EC8-501A-4308-98B8-0C8EFAF00E85}" type="TxLink">
            <a:rPr lang="en-US" sz="900" b="1" i="1" u="none" strike="noStrike">
              <a:solidFill>
                <a:srgbClr val="00B050"/>
              </a:solidFill>
              <a:latin typeface="Segoe UI" panose="020B0502040204020203" pitchFamily="34" charset="0"/>
              <a:ea typeface="Calibri"/>
              <a:cs typeface="Segoe UI" panose="020B0502040204020203" pitchFamily="34" charset="0"/>
            </a:rPr>
            <a:pPr algn="l"/>
            <a:t> </a:t>
          </a:fld>
          <a:endParaRPr lang="en-IN" sz="900" b="1" i="1">
            <a:solidFill>
              <a:srgbClr val="00B050"/>
            </a:solidFill>
            <a:latin typeface="Segoe UI" panose="020B0502040204020203" pitchFamily="34" charset="0"/>
            <a:cs typeface="Segoe UI" panose="020B0502040204020203" pitchFamily="34" charset="0"/>
          </a:endParaRPr>
        </a:p>
      </xdr:txBody>
    </xdr:sp>
    <xdr:clientData/>
  </xdr:twoCellAnchor>
  <xdr:twoCellAnchor>
    <xdr:from>
      <xdr:col>11</xdr:col>
      <xdr:colOff>569616</xdr:colOff>
      <xdr:row>19</xdr:row>
      <xdr:rowOff>63107</xdr:rowOff>
    </xdr:from>
    <xdr:to>
      <xdr:col>13</xdr:col>
      <xdr:colOff>89313</xdr:colOff>
      <xdr:row>20</xdr:row>
      <xdr:rowOff>105017</xdr:rowOff>
    </xdr:to>
    <xdr:sp macro="" textlink="SOPL!D61">
      <xdr:nvSpPr>
        <xdr:cNvPr id="101" name="Rectangle: Rounded Corners 100">
          <a:extLst>
            <a:ext uri="{FF2B5EF4-FFF2-40B4-BE49-F238E27FC236}">
              <a16:creationId xmlns:a16="http://schemas.microsoft.com/office/drawing/2014/main" id="{7BE7F1A0-AAB1-B7B4-C8FB-9D2E2EBA8CF0}"/>
            </a:ext>
          </a:extLst>
        </xdr:cNvPr>
        <xdr:cNvSpPr/>
      </xdr:nvSpPr>
      <xdr:spPr>
        <a:xfrm>
          <a:off x="7275216" y="3537827"/>
          <a:ext cx="738897" cy="22479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B32BD480-5D44-40E4-AD91-5D1EA88F9F75}" type="TxLink">
            <a:rPr lang="en-US" sz="900" b="1" i="1" u="none" strike="noStrike">
              <a:solidFill>
                <a:srgbClr val="FF0000"/>
              </a:solidFill>
              <a:latin typeface="Segoe UI" panose="020B0502040204020203" pitchFamily="34" charset="0"/>
              <a:ea typeface="Calibri"/>
              <a:cs typeface="Segoe UI" panose="020B0502040204020203" pitchFamily="34" charset="0"/>
            </a:rPr>
            <a:pPr algn="l"/>
            <a:t>-28.45%</a:t>
          </a:fld>
          <a:endParaRPr lang="en-IN" sz="900" b="1" i="1">
            <a:solidFill>
              <a:srgbClr val="FF0000"/>
            </a:solidFill>
            <a:latin typeface="Segoe UI" panose="020B0502040204020203" pitchFamily="34" charset="0"/>
            <a:cs typeface="Segoe UI" panose="020B0502040204020203" pitchFamily="34" charset="0"/>
          </a:endParaRPr>
        </a:p>
      </xdr:txBody>
    </xdr:sp>
    <xdr:clientData/>
  </xdr:twoCellAnchor>
  <xdr:twoCellAnchor>
    <xdr:from>
      <xdr:col>15</xdr:col>
      <xdr:colOff>445384</xdr:colOff>
      <xdr:row>9</xdr:row>
      <xdr:rowOff>97340</xdr:rowOff>
    </xdr:from>
    <xdr:to>
      <xdr:col>16</xdr:col>
      <xdr:colOff>569056</xdr:colOff>
      <xdr:row>10</xdr:row>
      <xdr:rowOff>158789</xdr:rowOff>
    </xdr:to>
    <xdr:sp macro="" textlink="SOPL!L74">
      <xdr:nvSpPr>
        <xdr:cNvPr id="103" name="Rectangle: Rounded Corners 102">
          <a:extLst>
            <a:ext uri="{FF2B5EF4-FFF2-40B4-BE49-F238E27FC236}">
              <a16:creationId xmlns:a16="http://schemas.microsoft.com/office/drawing/2014/main" id="{5E031A55-5A60-52E0-C4E2-B2706E83823E}"/>
            </a:ext>
          </a:extLst>
        </xdr:cNvPr>
        <xdr:cNvSpPr/>
      </xdr:nvSpPr>
      <xdr:spPr>
        <a:xfrm>
          <a:off x="9589384" y="1743260"/>
          <a:ext cx="733272" cy="24432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A09A47D1-5DA8-4763-B7DE-C259C4061FF3}" type="TxLink">
            <a:rPr lang="en-US" sz="900" b="1" i="1" u="none" strike="noStrike">
              <a:solidFill>
                <a:srgbClr val="00B050"/>
              </a:solidFill>
              <a:latin typeface="Segoe UI" panose="020B0502040204020203" pitchFamily="34" charset="0"/>
              <a:ea typeface="Calibri"/>
              <a:cs typeface="Segoe UI" panose="020B0502040204020203" pitchFamily="34" charset="0"/>
            </a:rPr>
            <a:pPr algn="l"/>
            <a:t> </a:t>
          </a:fld>
          <a:endParaRPr lang="en-IN" sz="900" b="1" i="1">
            <a:solidFill>
              <a:srgbClr val="00B050"/>
            </a:solidFill>
            <a:latin typeface="Segoe UI" panose="020B0502040204020203" pitchFamily="34" charset="0"/>
            <a:cs typeface="Segoe UI" panose="020B0502040204020203" pitchFamily="34" charset="0"/>
          </a:endParaRPr>
        </a:p>
      </xdr:txBody>
    </xdr:sp>
    <xdr:clientData/>
  </xdr:twoCellAnchor>
  <xdr:twoCellAnchor>
    <xdr:from>
      <xdr:col>0</xdr:col>
      <xdr:colOff>135919</xdr:colOff>
      <xdr:row>22</xdr:row>
      <xdr:rowOff>50790</xdr:rowOff>
    </xdr:from>
    <xdr:to>
      <xdr:col>3</xdr:col>
      <xdr:colOff>0</xdr:colOff>
      <xdr:row>26</xdr:row>
      <xdr:rowOff>117679</xdr:rowOff>
    </xdr:to>
    <xdr:sp macro="" textlink="SOPL!F79">
      <xdr:nvSpPr>
        <xdr:cNvPr id="111" name="Rectangle: Rounded Corners 110">
          <a:extLst>
            <a:ext uri="{FF2B5EF4-FFF2-40B4-BE49-F238E27FC236}">
              <a16:creationId xmlns:a16="http://schemas.microsoft.com/office/drawing/2014/main" id="{1C21F414-5DB2-6A96-878A-78DAF726647B}"/>
            </a:ext>
          </a:extLst>
        </xdr:cNvPr>
        <xdr:cNvSpPr/>
      </xdr:nvSpPr>
      <xdr:spPr>
        <a:xfrm>
          <a:off x="135919" y="4008957"/>
          <a:ext cx="1705581" cy="786555"/>
        </a:xfrm>
        <a:prstGeom prst="roundRect">
          <a:avLst/>
        </a:prstGeom>
        <a:noFill/>
        <a:ln>
          <a:solidFill>
            <a:srgbClr val="7A1F2B"/>
          </a:solidFill>
        </a:ln>
        <a:effectLst>
          <a:outerShdw blurRad="50800" dist="38100" dir="2700000" algn="tl" rotWithShape="0">
            <a:srgbClr val="7A1F2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81BA35C3-FB38-4259-A9FA-84AFF8831164}" type="TxLink">
            <a:rPr lang="en-US" sz="2000" b="1" i="0" u="none" strike="noStrike">
              <a:solidFill>
                <a:schemeClr val="bg2"/>
              </a:solidFill>
              <a:latin typeface="Segoe UI" panose="020B0502040204020203" pitchFamily="34" charset="0"/>
              <a:ea typeface="Calibri"/>
              <a:cs typeface="Segoe UI" panose="020B0502040204020203" pitchFamily="34" charset="0"/>
            </a:rPr>
            <a:pPr algn="l"/>
            <a:t> 1.19 </a:t>
          </a:fld>
          <a:endParaRPr lang="en-US" sz="2000" b="1" i="0" u="none" strike="noStrike">
            <a:solidFill>
              <a:schemeClr val="bg2"/>
            </a:solidFill>
            <a:latin typeface="Segoe UI" panose="020B0502040204020203" pitchFamily="34" charset="0"/>
            <a:ea typeface="Calibri"/>
            <a:cs typeface="Segoe UI" panose="020B0502040204020203" pitchFamily="34" charset="0"/>
          </a:endParaRPr>
        </a:p>
      </xdr:txBody>
    </xdr:sp>
    <xdr:clientData/>
  </xdr:twoCellAnchor>
  <xdr:twoCellAnchor>
    <xdr:from>
      <xdr:col>0</xdr:col>
      <xdr:colOff>238669</xdr:colOff>
      <xdr:row>22</xdr:row>
      <xdr:rowOff>76622</xdr:rowOff>
    </xdr:from>
    <xdr:to>
      <xdr:col>3</xdr:col>
      <xdr:colOff>40044</xdr:colOff>
      <xdr:row>24</xdr:row>
      <xdr:rowOff>79527</xdr:rowOff>
    </xdr:to>
    <xdr:sp macro="" textlink="">
      <xdr:nvSpPr>
        <xdr:cNvPr id="115" name="Rectangle: Rounded Corners 114">
          <a:extLst>
            <a:ext uri="{FF2B5EF4-FFF2-40B4-BE49-F238E27FC236}">
              <a16:creationId xmlns:a16="http://schemas.microsoft.com/office/drawing/2014/main" id="{20517DBB-84C5-2CAF-A356-AD6F89A76198}"/>
            </a:ext>
          </a:extLst>
        </xdr:cNvPr>
        <xdr:cNvSpPr/>
      </xdr:nvSpPr>
      <xdr:spPr>
        <a:xfrm>
          <a:off x="238669" y="4034789"/>
          <a:ext cx="1642875" cy="36273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rgbClr val="FFC000"/>
              </a:solidFill>
              <a:latin typeface="Segoe UI" panose="020B0502040204020203" pitchFamily="34" charset="0"/>
              <a:cs typeface="Segoe UI" panose="020B0502040204020203" pitchFamily="34" charset="0"/>
            </a:rPr>
            <a:t>CURRENT</a:t>
          </a:r>
          <a:r>
            <a:rPr lang="en-IN" sz="1400" b="1" baseline="0">
              <a:solidFill>
                <a:srgbClr val="FFC000"/>
              </a:solidFill>
              <a:latin typeface="Segoe UI" panose="020B0502040204020203" pitchFamily="34" charset="0"/>
              <a:cs typeface="Segoe UI" panose="020B0502040204020203" pitchFamily="34" charset="0"/>
            </a:rPr>
            <a:t> RATIO</a:t>
          </a:r>
          <a:endParaRPr lang="en-IN" sz="1400" b="1">
            <a:solidFill>
              <a:srgbClr val="FFC000"/>
            </a:solidFill>
            <a:latin typeface="Segoe UI" panose="020B0502040204020203" pitchFamily="34" charset="0"/>
            <a:cs typeface="Segoe UI" panose="020B0502040204020203" pitchFamily="34" charset="0"/>
          </a:endParaRPr>
        </a:p>
      </xdr:txBody>
    </xdr:sp>
    <xdr:clientData/>
  </xdr:twoCellAnchor>
  <xdr:twoCellAnchor>
    <xdr:from>
      <xdr:col>3</xdr:col>
      <xdr:colOff>196039</xdr:colOff>
      <xdr:row>22</xdr:row>
      <xdr:rowOff>50790</xdr:rowOff>
    </xdr:from>
    <xdr:to>
      <xdr:col>6</xdr:col>
      <xdr:colOff>60121</xdr:colOff>
      <xdr:row>26</xdr:row>
      <xdr:rowOff>117679</xdr:rowOff>
    </xdr:to>
    <xdr:sp macro="" textlink="SOPL!G79">
      <xdr:nvSpPr>
        <xdr:cNvPr id="121" name="Rectangle: Rounded Corners 120">
          <a:extLst>
            <a:ext uri="{FF2B5EF4-FFF2-40B4-BE49-F238E27FC236}">
              <a16:creationId xmlns:a16="http://schemas.microsoft.com/office/drawing/2014/main" id="{48219861-0CFD-44FB-9ECA-F30D00472914}"/>
            </a:ext>
          </a:extLst>
        </xdr:cNvPr>
        <xdr:cNvSpPr/>
      </xdr:nvSpPr>
      <xdr:spPr>
        <a:xfrm>
          <a:off x="2037539" y="4008957"/>
          <a:ext cx="1705582" cy="786555"/>
        </a:xfrm>
        <a:prstGeom prst="roundRect">
          <a:avLst/>
        </a:prstGeom>
        <a:noFill/>
        <a:ln>
          <a:solidFill>
            <a:srgbClr val="7A1F2B"/>
          </a:solidFill>
        </a:ln>
        <a:effectLst>
          <a:outerShdw blurRad="50800" dist="38100" dir="2700000" algn="tl" rotWithShape="0">
            <a:srgbClr val="7A1F2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6BD4C885-147C-4541-8203-DFAD86D7C3AC}" type="TxLink">
            <a:rPr lang="en-US" sz="2000" b="1" i="0" u="none" strike="noStrike">
              <a:solidFill>
                <a:schemeClr val="bg2"/>
              </a:solidFill>
              <a:latin typeface="Segoe UI" panose="020B0502040204020203" pitchFamily="34" charset="0"/>
              <a:ea typeface="Calibri"/>
              <a:cs typeface="Segoe UI" panose="020B0502040204020203" pitchFamily="34" charset="0"/>
            </a:rPr>
            <a:pPr algn="l"/>
            <a:t> 0.26 </a:t>
          </a:fld>
          <a:endParaRPr lang="en-US" sz="2000" b="1" i="0" u="none" strike="noStrike">
            <a:solidFill>
              <a:schemeClr val="bg2"/>
            </a:solidFill>
            <a:latin typeface="Segoe UI" panose="020B0502040204020203" pitchFamily="34" charset="0"/>
            <a:ea typeface="Calibri"/>
            <a:cs typeface="Segoe UI" panose="020B0502040204020203" pitchFamily="34" charset="0"/>
          </a:endParaRPr>
        </a:p>
      </xdr:txBody>
    </xdr:sp>
    <xdr:clientData/>
  </xdr:twoCellAnchor>
  <xdr:twoCellAnchor>
    <xdr:from>
      <xdr:col>3</xdr:col>
      <xdr:colOff>290421</xdr:colOff>
      <xdr:row>22</xdr:row>
      <xdr:rowOff>76622</xdr:rowOff>
    </xdr:from>
    <xdr:to>
      <xdr:col>6</xdr:col>
      <xdr:colOff>89514</xdr:colOff>
      <xdr:row>24</xdr:row>
      <xdr:rowOff>79527</xdr:rowOff>
    </xdr:to>
    <xdr:sp macro="" textlink="">
      <xdr:nvSpPr>
        <xdr:cNvPr id="122" name="Rectangle: Rounded Corners 121">
          <a:extLst>
            <a:ext uri="{FF2B5EF4-FFF2-40B4-BE49-F238E27FC236}">
              <a16:creationId xmlns:a16="http://schemas.microsoft.com/office/drawing/2014/main" id="{3C2DEB8B-7B80-5A6D-A275-1174A3D94982}"/>
            </a:ext>
          </a:extLst>
        </xdr:cNvPr>
        <xdr:cNvSpPr/>
      </xdr:nvSpPr>
      <xdr:spPr>
        <a:xfrm>
          <a:off x="2131921" y="4034789"/>
          <a:ext cx="1640593" cy="36273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rgbClr val="FFC000"/>
              </a:solidFill>
              <a:latin typeface="Segoe UI" panose="020B0502040204020203" pitchFamily="34" charset="0"/>
              <a:cs typeface="Segoe UI" panose="020B0502040204020203" pitchFamily="34" charset="0"/>
            </a:rPr>
            <a:t>QUICK</a:t>
          </a:r>
          <a:r>
            <a:rPr lang="en-IN" sz="1400" b="1" baseline="0">
              <a:solidFill>
                <a:srgbClr val="FFC000"/>
              </a:solidFill>
              <a:latin typeface="Segoe UI" panose="020B0502040204020203" pitchFamily="34" charset="0"/>
              <a:cs typeface="Segoe UI" panose="020B0502040204020203" pitchFamily="34" charset="0"/>
            </a:rPr>
            <a:t> RATIO</a:t>
          </a:r>
          <a:endParaRPr lang="en-IN" sz="1400" b="1">
            <a:solidFill>
              <a:srgbClr val="FFC000"/>
            </a:solidFill>
            <a:latin typeface="Segoe UI" panose="020B0502040204020203" pitchFamily="34" charset="0"/>
            <a:cs typeface="Segoe UI" panose="020B0502040204020203" pitchFamily="34" charset="0"/>
          </a:endParaRPr>
        </a:p>
      </xdr:txBody>
    </xdr:sp>
    <xdr:clientData/>
  </xdr:twoCellAnchor>
  <xdr:twoCellAnchor>
    <xdr:from>
      <xdr:col>6</xdr:col>
      <xdr:colOff>256160</xdr:colOff>
      <xdr:row>22</xdr:row>
      <xdr:rowOff>50790</xdr:rowOff>
    </xdr:from>
    <xdr:to>
      <xdr:col>9</xdr:col>
      <xdr:colOff>120241</xdr:colOff>
      <xdr:row>26</xdr:row>
      <xdr:rowOff>117679</xdr:rowOff>
    </xdr:to>
    <xdr:sp macro="" textlink="SOPL!A79">
      <xdr:nvSpPr>
        <xdr:cNvPr id="124" name="Rectangle: Rounded Corners 123">
          <a:extLst>
            <a:ext uri="{FF2B5EF4-FFF2-40B4-BE49-F238E27FC236}">
              <a16:creationId xmlns:a16="http://schemas.microsoft.com/office/drawing/2014/main" id="{FEC47D82-18DA-F751-BAA5-BD5EFC3D1F99}"/>
            </a:ext>
          </a:extLst>
        </xdr:cNvPr>
        <xdr:cNvSpPr/>
      </xdr:nvSpPr>
      <xdr:spPr>
        <a:xfrm>
          <a:off x="3939160" y="4008957"/>
          <a:ext cx="1705581" cy="786555"/>
        </a:xfrm>
        <a:prstGeom prst="roundRect">
          <a:avLst/>
        </a:prstGeom>
        <a:noFill/>
        <a:ln>
          <a:solidFill>
            <a:srgbClr val="7A1F2B"/>
          </a:solidFill>
        </a:ln>
        <a:effectLst>
          <a:outerShdw blurRad="50800" dist="38100" dir="2700000" algn="tl" rotWithShape="0">
            <a:srgbClr val="7A1F2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B0BCE31B-8E3A-47D9-ABCC-B9BD057C8B3A}" type="TxLink">
            <a:rPr lang="en-US" sz="2000" b="1" i="0" u="none" strike="noStrike">
              <a:solidFill>
                <a:schemeClr val="bg2"/>
              </a:solidFill>
              <a:latin typeface="Segoe UI" panose="020B0502040204020203" pitchFamily="34" charset="0"/>
              <a:ea typeface="Calibri"/>
              <a:cs typeface="Segoe UI" panose="020B0502040204020203" pitchFamily="34" charset="0"/>
            </a:rPr>
            <a:pPr algn="l"/>
            <a:t>16.47%</a:t>
          </a:fld>
          <a:endParaRPr lang="en-US" sz="2000" b="1" i="0" u="none" strike="noStrike">
            <a:solidFill>
              <a:schemeClr val="bg2"/>
            </a:solidFill>
            <a:latin typeface="Segoe UI" panose="020B0502040204020203" pitchFamily="34" charset="0"/>
            <a:ea typeface="Calibri"/>
            <a:cs typeface="Segoe UI" panose="020B0502040204020203" pitchFamily="34" charset="0"/>
          </a:endParaRPr>
        </a:p>
      </xdr:txBody>
    </xdr:sp>
    <xdr:clientData/>
  </xdr:twoCellAnchor>
  <xdr:twoCellAnchor>
    <xdr:from>
      <xdr:col>6</xdr:col>
      <xdr:colOff>243966</xdr:colOff>
      <xdr:row>22</xdr:row>
      <xdr:rowOff>76622</xdr:rowOff>
    </xdr:from>
    <xdr:to>
      <xdr:col>9</xdr:col>
      <xdr:colOff>366156</xdr:colOff>
      <xdr:row>24</xdr:row>
      <xdr:rowOff>79527</xdr:rowOff>
    </xdr:to>
    <xdr:sp macro="" textlink="">
      <xdr:nvSpPr>
        <xdr:cNvPr id="125" name="Rectangle: Rounded Corners 124">
          <a:extLst>
            <a:ext uri="{FF2B5EF4-FFF2-40B4-BE49-F238E27FC236}">
              <a16:creationId xmlns:a16="http://schemas.microsoft.com/office/drawing/2014/main" id="{803DD4A9-5C6C-7E3A-5F2D-6724ABEB86D0}"/>
            </a:ext>
          </a:extLst>
        </xdr:cNvPr>
        <xdr:cNvSpPr/>
      </xdr:nvSpPr>
      <xdr:spPr>
        <a:xfrm>
          <a:off x="3926966" y="4034789"/>
          <a:ext cx="1963690" cy="36273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b="1">
              <a:solidFill>
                <a:srgbClr val="FFC000"/>
              </a:solidFill>
              <a:latin typeface="Segoe UI" panose="020B0502040204020203" pitchFamily="34" charset="0"/>
              <a:cs typeface="Segoe UI" panose="020B0502040204020203" pitchFamily="34" charset="0"/>
            </a:rPr>
            <a:t>GROSS PROFIT MARGIN</a:t>
          </a:r>
          <a:r>
            <a:rPr lang="en-IN" sz="1050" b="1" baseline="0">
              <a:solidFill>
                <a:srgbClr val="FFC000"/>
              </a:solidFill>
              <a:latin typeface="Segoe UI" panose="020B0502040204020203" pitchFamily="34" charset="0"/>
              <a:cs typeface="Segoe UI" panose="020B0502040204020203" pitchFamily="34" charset="0"/>
            </a:rPr>
            <a:t> </a:t>
          </a:r>
          <a:endParaRPr lang="en-IN" sz="1050" b="1">
            <a:solidFill>
              <a:srgbClr val="FFC000"/>
            </a:solidFill>
            <a:latin typeface="Segoe UI" panose="020B0502040204020203" pitchFamily="34" charset="0"/>
            <a:cs typeface="Segoe UI" panose="020B0502040204020203" pitchFamily="34" charset="0"/>
          </a:endParaRPr>
        </a:p>
      </xdr:txBody>
    </xdr:sp>
    <xdr:clientData/>
  </xdr:twoCellAnchor>
  <xdr:twoCellAnchor>
    <xdr:from>
      <xdr:col>9</xdr:col>
      <xdr:colOff>316280</xdr:colOff>
      <xdr:row>22</xdr:row>
      <xdr:rowOff>50790</xdr:rowOff>
    </xdr:from>
    <xdr:to>
      <xdr:col>12</xdr:col>
      <xdr:colOff>180362</xdr:colOff>
      <xdr:row>26</xdr:row>
      <xdr:rowOff>117679</xdr:rowOff>
    </xdr:to>
    <xdr:sp macro="" textlink="SOPL!B79">
      <xdr:nvSpPr>
        <xdr:cNvPr id="127" name="Rectangle: Rounded Corners 126">
          <a:extLst>
            <a:ext uri="{FF2B5EF4-FFF2-40B4-BE49-F238E27FC236}">
              <a16:creationId xmlns:a16="http://schemas.microsoft.com/office/drawing/2014/main" id="{B80F0CC0-FF0C-BB51-FA12-60195B4C7F2C}"/>
            </a:ext>
          </a:extLst>
        </xdr:cNvPr>
        <xdr:cNvSpPr/>
      </xdr:nvSpPr>
      <xdr:spPr>
        <a:xfrm>
          <a:off x="5840780" y="4008957"/>
          <a:ext cx="1705582" cy="786555"/>
        </a:xfrm>
        <a:prstGeom prst="roundRect">
          <a:avLst/>
        </a:prstGeom>
        <a:noFill/>
        <a:ln>
          <a:solidFill>
            <a:srgbClr val="7A1F2B"/>
          </a:solidFill>
        </a:ln>
        <a:effectLst>
          <a:outerShdw blurRad="50800" dist="38100" dir="2700000" algn="tl" rotWithShape="0">
            <a:srgbClr val="7A1F2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4098BA94-F8F2-4417-B79D-78F249E5CD5C}" type="TxLink">
            <a:rPr lang="en-US" sz="2000" b="1" i="0" u="none" strike="noStrike">
              <a:solidFill>
                <a:schemeClr val="bg2"/>
              </a:solidFill>
              <a:latin typeface="Segoe UI" panose="020B0502040204020203" pitchFamily="34" charset="0"/>
              <a:ea typeface="Calibri"/>
              <a:cs typeface="Segoe UI" panose="020B0502040204020203" pitchFamily="34" charset="0"/>
            </a:rPr>
            <a:pPr algn="l"/>
            <a:t>5.14%</a:t>
          </a:fld>
          <a:endParaRPr lang="en-US" sz="2000" b="1" i="0" u="none" strike="noStrike">
            <a:solidFill>
              <a:schemeClr val="bg2"/>
            </a:solidFill>
            <a:latin typeface="Segoe UI" panose="020B0502040204020203" pitchFamily="34" charset="0"/>
            <a:ea typeface="Calibri"/>
            <a:cs typeface="Segoe UI" panose="020B0502040204020203" pitchFamily="34" charset="0"/>
          </a:endParaRPr>
        </a:p>
      </xdr:txBody>
    </xdr:sp>
    <xdr:clientData/>
  </xdr:twoCellAnchor>
  <xdr:twoCellAnchor>
    <xdr:from>
      <xdr:col>9</xdr:col>
      <xdr:colOff>343670</xdr:colOff>
      <xdr:row>22</xdr:row>
      <xdr:rowOff>76622</xdr:rowOff>
    </xdr:from>
    <xdr:to>
      <xdr:col>12</xdr:col>
      <xdr:colOff>142763</xdr:colOff>
      <xdr:row>24</xdr:row>
      <xdr:rowOff>79527</xdr:rowOff>
    </xdr:to>
    <xdr:sp macro="" textlink="">
      <xdr:nvSpPr>
        <xdr:cNvPr id="128" name="Rectangle: Rounded Corners 127">
          <a:extLst>
            <a:ext uri="{FF2B5EF4-FFF2-40B4-BE49-F238E27FC236}">
              <a16:creationId xmlns:a16="http://schemas.microsoft.com/office/drawing/2014/main" id="{F47BE726-56A8-61BE-8F8C-A5D1B34C33A1}"/>
            </a:ext>
          </a:extLst>
        </xdr:cNvPr>
        <xdr:cNvSpPr/>
      </xdr:nvSpPr>
      <xdr:spPr>
        <a:xfrm>
          <a:off x="5868170" y="4034789"/>
          <a:ext cx="1640593" cy="36273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rgbClr val="FFC000"/>
              </a:solidFill>
              <a:latin typeface="Segoe UI" panose="020B0502040204020203" pitchFamily="34" charset="0"/>
              <a:cs typeface="Segoe UI" panose="020B0502040204020203" pitchFamily="34" charset="0"/>
            </a:rPr>
            <a:t>EBITDA MARGIN</a:t>
          </a:r>
        </a:p>
      </xdr:txBody>
    </xdr:sp>
    <xdr:clientData/>
  </xdr:twoCellAnchor>
  <xdr:twoCellAnchor>
    <xdr:from>
      <xdr:col>12</xdr:col>
      <xdr:colOff>376401</xdr:colOff>
      <xdr:row>22</xdr:row>
      <xdr:rowOff>50790</xdr:rowOff>
    </xdr:from>
    <xdr:to>
      <xdr:col>15</xdr:col>
      <xdr:colOff>240482</xdr:colOff>
      <xdr:row>26</xdr:row>
      <xdr:rowOff>117679</xdr:rowOff>
    </xdr:to>
    <xdr:sp macro="" textlink="SOPL!C79">
      <xdr:nvSpPr>
        <xdr:cNvPr id="130" name="Rectangle: Rounded Corners 129">
          <a:extLst>
            <a:ext uri="{FF2B5EF4-FFF2-40B4-BE49-F238E27FC236}">
              <a16:creationId xmlns:a16="http://schemas.microsoft.com/office/drawing/2014/main" id="{AAFF505A-D300-4997-3CC4-C224B18AFD4B}"/>
            </a:ext>
          </a:extLst>
        </xdr:cNvPr>
        <xdr:cNvSpPr/>
      </xdr:nvSpPr>
      <xdr:spPr>
        <a:xfrm>
          <a:off x="7742401" y="4008957"/>
          <a:ext cx="1705581" cy="786555"/>
        </a:xfrm>
        <a:prstGeom prst="roundRect">
          <a:avLst/>
        </a:prstGeom>
        <a:noFill/>
        <a:ln>
          <a:solidFill>
            <a:srgbClr val="7A1F2B"/>
          </a:solidFill>
        </a:ln>
        <a:effectLst>
          <a:outerShdw blurRad="50800" dist="38100" dir="2700000" algn="tl" rotWithShape="0">
            <a:srgbClr val="7A1F2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367E69C7-3C88-4C5D-8DA0-D33BA659DB39}" type="TxLink">
            <a:rPr lang="en-US" sz="2000" b="1" i="0" u="none" strike="noStrike">
              <a:solidFill>
                <a:schemeClr val="bg2"/>
              </a:solidFill>
              <a:latin typeface="Segoe UI" panose="020B0502040204020203" pitchFamily="34" charset="0"/>
              <a:ea typeface="Calibri"/>
              <a:cs typeface="Segoe UI" panose="020B0502040204020203" pitchFamily="34" charset="0"/>
            </a:rPr>
            <a:pPr algn="l"/>
            <a:t>3.92%</a:t>
          </a:fld>
          <a:endParaRPr lang="en-US" sz="2000" b="1" i="0" u="none" strike="noStrike">
            <a:solidFill>
              <a:schemeClr val="bg2"/>
            </a:solidFill>
            <a:latin typeface="Segoe UI" panose="020B0502040204020203" pitchFamily="34" charset="0"/>
            <a:ea typeface="Calibri"/>
            <a:cs typeface="Segoe UI" panose="020B0502040204020203" pitchFamily="34" charset="0"/>
          </a:endParaRPr>
        </a:p>
      </xdr:txBody>
    </xdr:sp>
    <xdr:clientData/>
  </xdr:twoCellAnchor>
  <xdr:twoCellAnchor>
    <xdr:from>
      <xdr:col>12</xdr:col>
      <xdr:colOff>403791</xdr:colOff>
      <xdr:row>22</xdr:row>
      <xdr:rowOff>76622</xdr:rowOff>
    </xdr:from>
    <xdr:to>
      <xdr:col>15</xdr:col>
      <xdr:colOff>202883</xdr:colOff>
      <xdr:row>24</xdr:row>
      <xdr:rowOff>79527</xdr:rowOff>
    </xdr:to>
    <xdr:sp macro="" textlink="">
      <xdr:nvSpPr>
        <xdr:cNvPr id="131" name="Rectangle: Rounded Corners 130">
          <a:extLst>
            <a:ext uri="{FF2B5EF4-FFF2-40B4-BE49-F238E27FC236}">
              <a16:creationId xmlns:a16="http://schemas.microsoft.com/office/drawing/2014/main" id="{6CA3B7BC-A4F8-355A-69BE-13619F34950C}"/>
            </a:ext>
          </a:extLst>
        </xdr:cNvPr>
        <xdr:cNvSpPr/>
      </xdr:nvSpPr>
      <xdr:spPr>
        <a:xfrm>
          <a:off x="7769791" y="4034789"/>
          <a:ext cx="1640592" cy="36273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rgbClr val="FFC000"/>
              </a:solidFill>
              <a:latin typeface="Segoe UI" panose="020B0502040204020203" pitchFamily="34" charset="0"/>
              <a:cs typeface="Segoe UI" panose="020B0502040204020203" pitchFamily="34" charset="0"/>
            </a:rPr>
            <a:t>EBIT MARGIN</a:t>
          </a:r>
        </a:p>
      </xdr:txBody>
    </xdr:sp>
    <xdr:clientData/>
  </xdr:twoCellAnchor>
  <xdr:twoCellAnchor>
    <xdr:from>
      <xdr:col>15</xdr:col>
      <xdr:colOff>436521</xdr:colOff>
      <xdr:row>22</xdr:row>
      <xdr:rowOff>50790</xdr:rowOff>
    </xdr:from>
    <xdr:to>
      <xdr:col>18</xdr:col>
      <xdr:colOff>300603</xdr:colOff>
      <xdr:row>26</xdr:row>
      <xdr:rowOff>117679</xdr:rowOff>
    </xdr:to>
    <xdr:sp macro="" textlink="SOPL!D79">
      <xdr:nvSpPr>
        <xdr:cNvPr id="133" name="Rectangle: Rounded Corners 132">
          <a:extLst>
            <a:ext uri="{FF2B5EF4-FFF2-40B4-BE49-F238E27FC236}">
              <a16:creationId xmlns:a16="http://schemas.microsoft.com/office/drawing/2014/main" id="{BA1D2F69-5CA4-5A0F-03E6-27036B2DBA20}"/>
            </a:ext>
          </a:extLst>
        </xdr:cNvPr>
        <xdr:cNvSpPr/>
      </xdr:nvSpPr>
      <xdr:spPr>
        <a:xfrm>
          <a:off x="9644021" y="4008957"/>
          <a:ext cx="1705582" cy="786555"/>
        </a:xfrm>
        <a:prstGeom prst="roundRect">
          <a:avLst/>
        </a:prstGeom>
        <a:noFill/>
        <a:ln>
          <a:solidFill>
            <a:srgbClr val="7A1F2B"/>
          </a:solidFill>
        </a:ln>
        <a:effectLst>
          <a:outerShdw blurRad="50800" dist="38100" dir="2700000" algn="tl" rotWithShape="0">
            <a:srgbClr val="7A1F2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50F520A8-D701-462A-9BD6-865DD07CC12E}" type="TxLink">
            <a:rPr lang="en-US" sz="2000" b="1" i="0" u="none" strike="noStrike">
              <a:solidFill>
                <a:schemeClr val="bg2"/>
              </a:solidFill>
              <a:latin typeface="Segoe UI" panose="020B0502040204020203" pitchFamily="34" charset="0"/>
              <a:ea typeface="Calibri"/>
              <a:cs typeface="Segoe UI" panose="020B0502040204020203" pitchFamily="34" charset="0"/>
            </a:rPr>
            <a:pPr algn="l"/>
            <a:t>0.87%</a:t>
          </a:fld>
          <a:endParaRPr lang="en-US" sz="2000" b="1" i="0" u="none" strike="noStrike">
            <a:solidFill>
              <a:schemeClr val="bg2"/>
            </a:solidFill>
            <a:latin typeface="Segoe UI" panose="020B0502040204020203" pitchFamily="34" charset="0"/>
            <a:ea typeface="Calibri"/>
            <a:cs typeface="Segoe UI" panose="020B0502040204020203" pitchFamily="34" charset="0"/>
          </a:endParaRPr>
        </a:p>
      </xdr:txBody>
    </xdr:sp>
    <xdr:clientData/>
  </xdr:twoCellAnchor>
  <xdr:twoCellAnchor>
    <xdr:from>
      <xdr:col>15</xdr:col>
      <xdr:colOff>463911</xdr:colOff>
      <xdr:row>22</xdr:row>
      <xdr:rowOff>76622</xdr:rowOff>
    </xdr:from>
    <xdr:to>
      <xdr:col>18</xdr:col>
      <xdr:colOff>263004</xdr:colOff>
      <xdr:row>24</xdr:row>
      <xdr:rowOff>79527</xdr:rowOff>
    </xdr:to>
    <xdr:sp macro="" textlink="">
      <xdr:nvSpPr>
        <xdr:cNvPr id="134" name="Rectangle: Rounded Corners 133">
          <a:extLst>
            <a:ext uri="{FF2B5EF4-FFF2-40B4-BE49-F238E27FC236}">
              <a16:creationId xmlns:a16="http://schemas.microsoft.com/office/drawing/2014/main" id="{257419A7-AA13-B9F4-4862-076DC7A45223}"/>
            </a:ext>
          </a:extLst>
        </xdr:cNvPr>
        <xdr:cNvSpPr/>
      </xdr:nvSpPr>
      <xdr:spPr>
        <a:xfrm>
          <a:off x="9671411" y="4034789"/>
          <a:ext cx="1640593" cy="36273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rgbClr val="FFC000"/>
              </a:solidFill>
              <a:latin typeface="Segoe UI" panose="020B0502040204020203" pitchFamily="34" charset="0"/>
              <a:cs typeface="Segoe UI" panose="020B0502040204020203" pitchFamily="34" charset="0"/>
            </a:rPr>
            <a:t>EBT MARGIN</a:t>
          </a:r>
        </a:p>
      </xdr:txBody>
    </xdr:sp>
    <xdr:clientData/>
  </xdr:twoCellAnchor>
  <xdr:twoCellAnchor>
    <xdr:from>
      <xdr:col>18</xdr:col>
      <xdr:colOff>495169</xdr:colOff>
      <xdr:row>22</xdr:row>
      <xdr:rowOff>50790</xdr:rowOff>
    </xdr:from>
    <xdr:to>
      <xdr:col>21</xdr:col>
      <xdr:colOff>359250</xdr:colOff>
      <xdr:row>26</xdr:row>
      <xdr:rowOff>117679</xdr:rowOff>
    </xdr:to>
    <xdr:sp macro="" textlink="SOPL!E79">
      <xdr:nvSpPr>
        <xdr:cNvPr id="136" name="Rectangle: Rounded Corners 135">
          <a:extLst>
            <a:ext uri="{FF2B5EF4-FFF2-40B4-BE49-F238E27FC236}">
              <a16:creationId xmlns:a16="http://schemas.microsoft.com/office/drawing/2014/main" id="{A351BBA9-9331-109B-2867-EFFB6E6E8412}"/>
            </a:ext>
          </a:extLst>
        </xdr:cNvPr>
        <xdr:cNvSpPr/>
      </xdr:nvSpPr>
      <xdr:spPr>
        <a:xfrm>
          <a:off x="11544169" y="4008957"/>
          <a:ext cx="1705581" cy="786555"/>
        </a:xfrm>
        <a:prstGeom prst="roundRect">
          <a:avLst/>
        </a:prstGeom>
        <a:noFill/>
        <a:ln>
          <a:solidFill>
            <a:srgbClr val="7A1F2B"/>
          </a:solidFill>
        </a:ln>
        <a:effectLst>
          <a:outerShdw blurRad="50800" dist="38100" dir="2700000" algn="tl" rotWithShape="0">
            <a:srgbClr val="7A1F2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828CC4C5-6138-455A-BDE8-67F0E3BFAAA9}" type="TxLink">
            <a:rPr lang="en-US" sz="2000" b="1" i="0" u="none" strike="noStrike">
              <a:solidFill>
                <a:schemeClr val="bg2"/>
              </a:solidFill>
              <a:latin typeface="Segoe UI" panose="020B0502040204020203" pitchFamily="34" charset="0"/>
              <a:ea typeface="Calibri"/>
              <a:cs typeface="Segoe UI" panose="020B0502040204020203" pitchFamily="34" charset="0"/>
            </a:rPr>
            <a:pPr algn="l"/>
            <a:t>0.60%</a:t>
          </a:fld>
          <a:endParaRPr lang="en-US" sz="2000" b="1" i="0" u="none" strike="noStrike">
            <a:solidFill>
              <a:schemeClr val="bg2"/>
            </a:solidFill>
            <a:latin typeface="Segoe UI" panose="020B0502040204020203" pitchFamily="34" charset="0"/>
            <a:ea typeface="Calibri"/>
            <a:cs typeface="Segoe UI" panose="020B0502040204020203" pitchFamily="34" charset="0"/>
          </a:endParaRPr>
        </a:p>
      </xdr:txBody>
    </xdr:sp>
    <xdr:clientData/>
  </xdr:twoCellAnchor>
  <xdr:twoCellAnchor>
    <xdr:from>
      <xdr:col>18</xdr:col>
      <xdr:colOff>524032</xdr:colOff>
      <xdr:row>22</xdr:row>
      <xdr:rowOff>76622</xdr:rowOff>
    </xdr:from>
    <xdr:to>
      <xdr:col>21</xdr:col>
      <xdr:colOff>323124</xdr:colOff>
      <xdr:row>24</xdr:row>
      <xdr:rowOff>79527</xdr:rowOff>
    </xdr:to>
    <xdr:sp macro="" textlink="">
      <xdr:nvSpPr>
        <xdr:cNvPr id="137" name="Rectangle: Rounded Corners 136">
          <a:extLst>
            <a:ext uri="{FF2B5EF4-FFF2-40B4-BE49-F238E27FC236}">
              <a16:creationId xmlns:a16="http://schemas.microsoft.com/office/drawing/2014/main" id="{3A921FB2-0C37-8436-8C3D-BD5C5591D9BE}"/>
            </a:ext>
          </a:extLst>
        </xdr:cNvPr>
        <xdr:cNvSpPr/>
      </xdr:nvSpPr>
      <xdr:spPr>
        <a:xfrm>
          <a:off x="11573032" y="4034789"/>
          <a:ext cx="1640592" cy="36273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rgbClr val="FFC000"/>
              </a:solidFill>
              <a:latin typeface="Segoe UI" panose="020B0502040204020203" pitchFamily="34" charset="0"/>
              <a:cs typeface="Segoe UI" panose="020B0502040204020203" pitchFamily="34" charset="0"/>
            </a:rPr>
            <a:t>PAT MARGIN</a:t>
          </a:r>
        </a:p>
      </xdr:txBody>
    </xdr:sp>
    <xdr:clientData/>
  </xdr:twoCellAnchor>
  <xdr:twoCellAnchor>
    <xdr:from>
      <xdr:col>15</xdr:col>
      <xdr:colOff>367881</xdr:colOff>
      <xdr:row>28</xdr:row>
      <xdr:rowOff>28619</xdr:rowOff>
    </xdr:from>
    <xdr:to>
      <xdr:col>24</xdr:col>
      <xdr:colOff>405519</xdr:colOff>
      <xdr:row>43</xdr:row>
      <xdr:rowOff>10806</xdr:rowOff>
    </xdr:to>
    <xdr:sp macro="" textlink="">
      <xdr:nvSpPr>
        <xdr:cNvPr id="145" name="Rectangle: Rounded Corners 144">
          <a:extLst>
            <a:ext uri="{FF2B5EF4-FFF2-40B4-BE49-F238E27FC236}">
              <a16:creationId xmlns:a16="http://schemas.microsoft.com/office/drawing/2014/main" id="{ECFE4200-60A6-4209-81E1-ABCBFC891271}"/>
            </a:ext>
          </a:extLst>
        </xdr:cNvPr>
        <xdr:cNvSpPr/>
      </xdr:nvSpPr>
      <xdr:spPr>
        <a:xfrm>
          <a:off x="9575381" y="5066286"/>
          <a:ext cx="5562138" cy="2680937"/>
        </a:xfrm>
        <a:prstGeom prst="roundRect">
          <a:avLst>
            <a:gd name="adj" fmla="val 4989"/>
          </a:avLst>
        </a:prstGeom>
        <a:solidFill>
          <a:srgbClr val="3A3A3A"/>
        </a:solidFill>
        <a:ln>
          <a:solidFill>
            <a:schemeClr val="bg2">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418351</xdr:colOff>
      <xdr:row>28</xdr:row>
      <xdr:rowOff>76480</xdr:rowOff>
    </xdr:from>
    <xdr:to>
      <xdr:col>24</xdr:col>
      <xdr:colOff>366058</xdr:colOff>
      <xdr:row>42</xdr:row>
      <xdr:rowOff>158657</xdr:rowOff>
    </xdr:to>
    <xdr:graphicFrame macro="">
      <xdr:nvGraphicFramePr>
        <xdr:cNvPr id="141" name="Chart 140">
          <a:extLst>
            <a:ext uri="{FF2B5EF4-FFF2-40B4-BE49-F238E27FC236}">
              <a16:creationId xmlns:a16="http://schemas.microsoft.com/office/drawing/2014/main" id="{DCA0986C-68D4-4201-BCD5-1DEC1446B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150378</xdr:colOff>
      <xdr:row>17</xdr:row>
      <xdr:rowOff>20052</xdr:rowOff>
    </xdr:from>
    <xdr:to>
      <xdr:col>20</xdr:col>
      <xdr:colOff>557589</xdr:colOff>
      <xdr:row>21</xdr:row>
      <xdr:rowOff>90157</xdr:rowOff>
    </xdr:to>
    <xdr:grpSp>
      <xdr:nvGrpSpPr>
        <xdr:cNvPr id="146" name="Group 145">
          <a:extLst>
            <a:ext uri="{FF2B5EF4-FFF2-40B4-BE49-F238E27FC236}">
              <a16:creationId xmlns:a16="http://schemas.microsoft.com/office/drawing/2014/main" id="{00B86E89-F28A-A600-9BE4-C994B95E7599}"/>
            </a:ext>
          </a:extLst>
        </xdr:cNvPr>
        <xdr:cNvGrpSpPr/>
      </xdr:nvGrpSpPr>
      <xdr:grpSpPr>
        <a:xfrm>
          <a:off x="10513578" y="3129012"/>
          <a:ext cx="2236011" cy="801625"/>
          <a:chOff x="5716937" y="1082908"/>
          <a:chExt cx="2231053" cy="773989"/>
        </a:xfrm>
      </xdr:grpSpPr>
      <xdr:sp macro="" textlink="">
        <xdr:nvSpPr>
          <xdr:cNvPr id="147" name="Rectangle: Rounded Corners 146">
            <a:extLst>
              <a:ext uri="{FF2B5EF4-FFF2-40B4-BE49-F238E27FC236}">
                <a16:creationId xmlns:a16="http://schemas.microsoft.com/office/drawing/2014/main" id="{9D412770-6A6D-9235-790A-8111E14395CE}"/>
              </a:ext>
            </a:extLst>
          </xdr:cNvPr>
          <xdr:cNvSpPr/>
        </xdr:nvSpPr>
        <xdr:spPr>
          <a:xfrm>
            <a:off x="5758645" y="1086177"/>
            <a:ext cx="2139340" cy="35463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rgbClr val="FFC000"/>
                </a:solidFill>
                <a:latin typeface="Segoe UI" panose="020B0502040204020203" pitchFamily="34" charset="0"/>
                <a:cs typeface="Segoe UI" panose="020B0502040204020203" pitchFamily="34" charset="0"/>
              </a:rPr>
              <a:t>EPS</a:t>
            </a:r>
            <a:r>
              <a:rPr lang="en-IN" sz="1400" b="1" baseline="0">
                <a:solidFill>
                  <a:srgbClr val="FFC000"/>
                </a:solidFill>
                <a:latin typeface="Segoe UI" panose="020B0502040204020203" pitchFamily="34" charset="0"/>
                <a:cs typeface="Segoe UI" panose="020B0502040204020203" pitchFamily="34" charset="0"/>
              </a:rPr>
              <a:t> </a:t>
            </a:r>
            <a:r>
              <a:rPr lang="en-IN" sz="1000" b="1" baseline="0">
                <a:solidFill>
                  <a:srgbClr val="FFC000"/>
                </a:solidFill>
                <a:latin typeface="Segoe UI" panose="020B0502040204020203" pitchFamily="34" charset="0"/>
                <a:cs typeface="Segoe UI" panose="020B0502040204020203" pitchFamily="34" charset="0"/>
              </a:rPr>
              <a:t>(BASIC) (₹/SHARE)</a:t>
            </a:r>
            <a:endParaRPr lang="en-IN" sz="1000" b="1">
              <a:solidFill>
                <a:srgbClr val="FFC000"/>
              </a:solidFill>
              <a:latin typeface="Segoe UI" panose="020B0502040204020203" pitchFamily="34" charset="0"/>
              <a:cs typeface="Segoe UI" panose="020B0502040204020203" pitchFamily="34" charset="0"/>
            </a:endParaRPr>
          </a:p>
        </xdr:txBody>
      </xdr:sp>
      <xdr:sp macro="" textlink="SOPL!P74">
        <xdr:nvSpPr>
          <xdr:cNvPr id="148" name="Rectangle: Rounded Corners 147">
            <a:extLst>
              <a:ext uri="{FF2B5EF4-FFF2-40B4-BE49-F238E27FC236}">
                <a16:creationId xmlns:a16="http://schemas.microsoft.com/office/drawing/2014/main" id="{D272E98A-3523-96FF-6969-D71277E89520}"/>
              </a:ext>
            </a:extLst>
          </xdr:cNvPr>
          <xdr:cNvSpPr/>
        </xdr:nvSpPr>
        <xdr:spPr>
          <a:xfrm>
            <a:off x="5716937" y="1082908"/>
            <a:ext cx="2231053" cy="773989"/>
          </a:xfrm>
          <a:prstGeom prst="roundRect">
            <a:avLst/>
          </a:prstGeom>
          <a:noFill/>
          <a:ln>
            <a:solidFill>
              <a:srgbClr val="7A1F2B"/>
            </a:solidFill>
          </a:ln>
          <a:effectLst>
            <a:outerShdw blurRad="50800" dist="38100" dir="2700000" algn="tl" rotWithShape="0">
              <a:srgbClr val="7A1F2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CC8FEB2C-3C35-4CA0-92B2-251C5E7D8C99}" type="TxLink">
              <a:rPr lang="en-US" sz="2000" b="1" i="0" u="none" strike="noStrike">
                <a:solidFill>
                  <a:schemeClr val="bg2"/>
                </a:solidFill>
                <a:latin typeface="Segoe UI" panose="020B0502040204020203" pitchFamily="34" charset="0"/>
                <a:ea typeface="Calibri"/>
                <a:cs typeface="Segoe UI" panose="020B0502040204020203" pitchFamily="34" charset="0"/>
              </a:rPr>
              <a:pPr algn="l"/>
              <a:t>₹ 0.54</a:t>
            </a:fld>
            <a:endParaRPr lang="en-US" sz="2000" b="1" i="0" u="none" strike="noStrike">
              <a:solidFill>
                <a:schemeClr val="bg2"/>
              </a:solidFill>
              <a:latin typeface="Segoe UI" panose="020B0502040204020203" pitchFamily="34" charset="0"/>
              <a:ea typeface="Calibri"/>
              <a:cs typeface="Segoe UI" panose="020B0502040204020203" pitchFamily="34" charset="0"/>
            </a:endParaRPr>
          </a:p>
        </xdr:txBody>
      </xdr:sp>
    </xdr:grpSp>
    <xdr:clientData/>
  </xdr:twoCellAnchor>
  <xdr:twoCellAnchor>
    <xdr:from>
      <xdr:col>19</xdr:col>
      <xdr:colOff>434198</xdr:colOff>
      <xdr:row>19</xdr:row>
      <xdr:rowOff>63107</xdr:rowOff>
    </xdr:from>
    <xdr:to>
      <xdr:col>20</xdr:col>
      <xdr:colOff>608616</xdr:colOff>
      <xdr:row>20</xdr:row>
      <xdr:rowOff>126987</xdr:rowOff>
    </xdr:to>
    <xdr:sp macro="" textlink="SOPL!B74">
      <xdr:nvSpPr>
        <xdr:cNvPr id="149" name="Rectangle: Rounded Corners 148">
          <a:extLst>
            <a:ext uri="{FF2B5EF4-FFF2-40B4-BE49-F238E27FC236}">
              <a16:creationId xmlns:a16="http://schemas.microsoft.com/office/drawing/2014/main" id="{956CD9A0-F05A-4697-B900-8DA27FE6B5BF}"/>
            </a:ext>
          </a:extLst>
        </xdr:cNvPr>
        <xdr:cNvSpPr/>
      </xdr:nvSpPr>
      <xdr:spPr>
        <a:xfrm>
          <a:off x="12016598" y="3537827"/>
          <a:ext cx="784018" cy="2467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C85C49F0-B508-4103-8A9C-F13E3290B52C}" type="TxLink">
            <a:rPr lang="en-US" sz="900" b="1" i="1" u="none" strike="noStrike">
              <a:solidFill>
                <a:srgbClr val="00B050"/>
              </a:solidFill>
              <a:latin typeface="Segoe UI" panose="020B0502040204020203" pitchFamily="34" charset="0"/>
              <a:ea typeface="Calibri"/>
              <a:cs typeface="Segoe UI" panose="020B0502040204020203" pitchFamily="34" charset="0"/>
            </a:rPr>
            <a:pPr algn="l"/>
            <a:t> </a:t>
          </a:fld>
          <a:endParaRPr lang="en-IN" sz="900" b="1" i="1">
            <a:solidFill>
              <a:srgbClr val="00B050"/>
            </a:solidFill>
            <a:latin typeface="Segoe UI" panose="020B0502040204020203" pitchFamily="34" charset="0"/>
            <a:cs typeface="Segoe UI" panose="020B0502040204020203" pitchFamily="34" charset="0"/>
          </a:endParaRPr>
        </a:p>
      </xdr:txBody>
    </xdr:sp>
    <xdr:clientData/>
  </xdr:twoCellAnchor>
  <xdr:twoCellAnchor>
    <xdr:from>
      <xdr:col>19</xdr:col>
      <xdr:colOff>481820</xdr:colOff>
      <xdr:row>19</xdr:row>
      <xdr:rowOff>63107</xdr:rowOff>
    </xdr:from>
    <xdr:to>
      <xdr:col>20</xdr:col>
      <xdr:colOff>608616</xdr:colOff>
      <xdr:row>20</xdr:row>
      <xdr:rowOff>105017</xdr:rowOff>
    </xdr:to>
    <xdr:sp macro="" textlink="SOPL!B61">
      <xdr:nvSpPr>
        <xdr:cNvPr id="150" name="Rectangle: Rounded Corners 149">
          <a:extLst>
            <a:ext uri="{FF2B5EF4-FFF2-40B4-BE49-F238E27FC236}">
              <a16:creationId xmlns:a16="http://schemas.microsoft.com/office/drawing/2014/main" id="{3BEF3D53-8683-4F79-822C-80B3EF56B740}"/>
            </a:ext>
          </a:extLst>
        </xdr:cNvPr>
        <xdr:cNvSpPr/>
      </xdr:nvSpPr>
      <xdr:spPr>
        <a:xfrm>
          <a:off x="12064220" y="3537827"/>
          <a:ext cx="736396" cy="22479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AE03D7E9-0EFB-4A89-9C3E-5F5458756E68}" type="TxLink">
            <a:rPr lang="en-US" sz="900" b="1" i="1" u="none" strike="noStrike">
              <a:solidFill>
                <a:srgbClr val="FF0000"/>
              </a:solidFill>
              <a:latin typeface="Segoe UI" panose="020B0502040204020203" pitchFamily="34" charset="0"/>
              <a:ea typeface="Calibri"/>
              <a:cs typeface="Segoe UI" panose="020B0502040204020203" pitchFamily="34" charset="0"/>
            </a:rPr>
            <a:pPr algn="l"/>
            <a:t>-67.07%</a:t>
          </a:fld>
          <a:endParaRPr lang="en-IN" sz="900" b="1" i="1">
            <a:solidFill>
              <a:srgbClr val="FF0000"/>
            </a:solidFill>
            <a:latin typeface="Segoe UI" panose="020B0502040204020203" pitchFamily="34" charset="0"/>
            <a:cs typeface="Segoe UI" panose="020B0502040204020203" pitchFamily="34" charset="0"/>
          </a:endParaRPr>
        </a:p>
      </xdr:txBody>
    </xdr:sp>
    <xdr:clientData/>
  </xdr:twoCellAnchor>
  <xdr:twoCellAnchor>
    <xdr:from>
      <xdr:col>7</xdr:col>
      <xdr:colOff>349696</xdr:colOff>
      <xdr:row>28</xdr:row>
      <xdr:rowOff>28619</xdr:rowOff>
    </xdr:from>
    <xdr:to>
      <xdr:col>15</xdr:col>
      <xdr:colOff>170105</xdr:colOff>
      <xdr:row>43</xdr:row>
      <xdr:rowOff>10806</xdr:rowOff>
    </xdr:to>
    <xdr:sp macro="" textlink="">
      <xdr:nvSpPr>
        <xdr:cNvPr id="152" name="Rectangle: Rounded Corners 151">
          <a:extLst>
            <a:ext uri="{FF2B5EF4-FFF2-40B4-BE49-F238E27FC236}">
              <a16:creationId xmlns:a16="http://schemas.microsoft.com/office/drawing/2014/main" id="{FB6D1459-0CB7-F285-1764-77829392011A}"/>
            </a:ext>
          </a:extLst>
        </xdr:cNvPr>
        <xdr:cNvSpPr/>
      </xdr:nvSpPr>
      <xdr:spPr>
        <a:xfrm>
          <a:off x="4646529" y="5066286"/>
          <a:ext cx="4731076" cy="2680937"/>
        </a:xfrm>
        <a:prstGeom prst="roundRect">
          <a:avLst>
            <a:gd name="adj" fmla="val 4989"/>
          </a:avLst>
        </a:prstGeom>
        <a:solidFill>
          <a:srgbClr val="3A3A3A"/>
        </a:solidFill>
        <a:ln>
          <a:solidFill>
            <a:schemeClr val="bg2">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523164</xdr:colOff>
      <xdr:row>28</xdr:row>
      <xdr:rowOff>112240</xdr:rowOff>
    </xdr:from>
    <xdr:to>
      <xdr:col>15</xdr:col>
      <xdr:colOff>80537</xdr:colOff>
      <xdr:row>42</xdr:row>
      <xdr:rowOff>171879</xdr:rowOff>
    </xdr:to>
    <xdr:graphicFrame macro="">
      <xdr:nvGraphicFramePr>
        <xdr:cNvPr id="151" name="Chart 150">
          <a:extLst>
            <a:ext uri="{FF2B5EF4-FFF2-40B4-BE49-F238E27FC236}">
              <a16:creationId xmlns:a16="http://schemas.microsoft.com/office/drawing/2014/main" id="{80AE195D-70F8-4FAC-9E05-2735DE373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159657</xdr:colOff>
      <xdr:row>28</xdr:row>
      <xdr:rowOff>28619</xdr:rowOff>
    </xdr:from>
    <xdr:to>
      <xdr:col>7</xdr:col>
      <xdr:colOff>188686</xdr:colOff>
      <xdr:row>43</xdr:row>
      <xdr:rowOff>10806</xdr:rowOff>
    </xdr:to>
    <xdr:sp macro="" textlink="">
      <xdr:nvSpPr>
        <xdr:cNvPr id="154" name="Rectangle: Rounded Corners 153">
          <a:extLst>
            <a:ext uri="{FF2B5EF4-FFF2-40B4-BE49-F238E27FC236}">
              <a16:creationId xmlns:a16="http://schemas.microsoft.com/office/drawing/2014/main" id="{985610CB-C36F-F392-5DAD-EE7606FF395E}"/>
            </a:ext>
          </a:extLst>
        </xdr:cNvPr>
        <xdr:cNvSpPr/>
      </xdr:nvSpPr>
      <xdr:spPr>
        <a:xfrm>
          <a:off x="159657" y="5066286"/>
          <a:ext cx="4325862" cy="2680937"/>
        </a:xfrm>
        <a:prstGeom prst="roundRect">
          <a:avLst>
            <a:gd name="adj" fmla="val 4989"/>
          </a:avLst>
        </a:prstGeom>
        <a:solidFill>
          <a:srgbClr val="3A3A3A"/>
        </a:solidFill>
        <a:ln>
          <a:solidFill>
            <a:schemeClr val="bg2">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232229</xdr:colOff>
      <xdr:row>28</xdr:row>
      <xdr:rowOff>81972</xdr:rowOff>
    </xdr:from>
    <xdr:to>
      <xdr:col>7</xdr:col>
      <xdr:colOff>108858</xdr:colOff>
      <xdr:row>42</xdr:row>
      <xdr:rowOff>165684</xdr:rowOff>
    </xdr:to>
    <xdr:graphicFrame macro="">
      <xdr:nvGraphicFramePr>
        <xdr:cNvPr id="153" name="Chart 152">
          <a:extLst>
            <a:ext uri="{FF2B5EF4-FFF2-40B4-BE49-F238E27FC236}">
              <a16:creationId xmlns:a16="http://schemas.microsoft.com/office/drawing/2014/main" id="{D7963D7C-9088-4079-9C1F-8DCE0A195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457894</xdr:colOff>
      <xdr:row>0</xdr:row>
      <xdr:rowOff>59377</xdr:rowOff>
    </xdr:from>
    <xdr:to>
      <xdr:col>6</xdr:col>
      <xdr:colOff>18791</xdr:colOff>
      <xdr:row>6</xdr:row>
      <xdr:rowOff>43900</xdr:rowOff>
    </xdr:to>
    <xdr:pic>
      <xdr:nvPicPr>
        <xdr:cNvPr id="157" name="Picture 156" descr="Kalyan Jewellers – kiKKidu">
          <a:extLst>
            <a:ext uri="{FF2B5EF4-FFF2-40B4-BE49-F238E27FC236}">
              <a16:creationId xmlns:a16="http://schemas.microsoft.com/office/drawing/2014/main" id="{8425A326-9EA7-9BE2-4792-D2ADDDCB85F9}"/>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52111"/>
        <a:stretch>
          <a:fillRect/>
        </a:stretch>
      </xdr:blipFill>
      <xdr:spPr bwMode="auto">
        <a:xfrm>
          <a:off x="1071727" y="59377"/>
          <a:ext cx="2630064" cy="1064023"/>
        </a:xfrm>
        <a:prstGeom prst="rect">
          <a:avLst/>
        </a:prstGeom>
        <a:noFill/>
        <a:effectLst>
          <a:outerShdw blurRad="127000" dist="38100" dir="2700000" algn="tl" rotWithShape="0">
            <a:srgbClr val="FF0000">
              <a:alpha val="40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33641</xdr:colOff>
      <xdr:row>0</xdr:row>
      <xdr:rowOff>61786</xdr:rowOff>
    </xdr:from>
    <xdr:to>
      <xdr:col>1</xdr:col>
      <xdr:colOff>476420</xdr:colOff>
      <xdr:row>6</xdr:row>
      <xdr:rowOff>179715</xdr:rowOff>
    </xdr:to>
    <xdr:pic>
      <xdr:nvPicPr>
        <xdr:cNvPr id="158" name="Picture 157">
          <a:extLst>
            <a:ext uri="{FF2B5EF4-FFF2-40B4-BE49-F238E27FC236}">
              <a16:creationId xmlns:a16="http://schemas.microsoft.com/office/drawing/2014/main" id="{F0D6B013-FC8F-48DE-975F-855768947D7E}"/>
            </a:ext>
          </a:extLst>
        </xdr:cNvPr>
        <xdr:cNvPicPr>
          <a:picLocks noChangeAspect="1"/>
        </xdr:cNvPicPr>
      </xdr:nvPicPr>
      <xdr:blipFill rotWithShape="1">
        <a:blip xmlns:r="http://schemas.openxmlformats.org/officeDocument/2006/relationships" r:embed="rId6"/>
        <a:srcRect l="27083" r="29167" b="40741"/>
        <a:stretch>
          <a:fillRect/>
        </a:stretch>
      </xdr:blipFill>
      <xdr:spPr>
        <a:xfrm>
          <a:off x="33641" y="61786"/>
          <a:ext cx="1056612" cy="1197429"/>
        </a:xfrm>
        <a:prstGeom prst="rect">
          <a:avLst/>
        </a:prstGeom>
        <a:effectLst>
          <a:outerShdw blurRad="152400" dist="38100" dir="2700000" algn="tl" rotWithShape="0">
            <a:schemeClr val="bg1">
              <a:lumMod val="85000"/>
              <a:alpha val="37000"/>
            </a:schemeClr>
          </a:outerShdw>
        </a:effectLst>
      </xdr:spPr>
    </xdr:pic>
    <xdr:clientData/>
  </xdr:twoCellAnchor>
  <xdr:twoCellAnchor>
    <xdr:from>
      <xdr:col>21</xdr:col>
      <xdr:colOff>74083</xdr:colOff>
      <xdr:row>7</xdr:row>
      <xdr:rowOff>12340</xdr:rowOff>
    </xdr:from>
    <xdr:to>
      <xdr:col>24</xdr:col>
      <xdr:colOff>401516</xdr:colOff>
      <xdr:row>21</xdr:row>
      <xdr:rowOff>86381</xdr:rowOff>
    </xdr:to>
    <xdr:sp macro="" textlink="">
      <xdr:nvSpPr>
        <xdr:cNvPr id="3" name="Rectangle: Rounded Corners 2">
          <a:extLst>
            <a:ext uri="{FF2B5EF4-FFF2-40B4-BE49-F238E27FC236}">
              <a16:creationId xmlns:a16="http://schemas.microsoft.com/office/drawing/2014/main" id="{5AC90428-49B2-468D-8A92-04F4213FDA43}"/>
            </a:ext>
          </a:extLst>
        </xdr:cNvPr>
        <xdr:cNvSpPr/>
      </xdr:nvSpPr>
      <xdr:spPr>
        <a:xfrm>
          <a:off x="12964583" y="1271757"/>
          <a:ext cx="2168933" cy="2592874"/>
        </a:xfrm>
        <a:prstGeom prst="roundRect">
          <a:avLst>
            <a:gd name="adj" fmla="val 8497"/>
          </a:avLst>
        </a:prstGeom>
        <a:noFill/>
        <a:ln>
          <a:solidFill>
            <a:srgbClr val="7A1F2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FFC000"/>
              </a:solidFill>
              <a:latin typeface="Segoe UI" panose="020B0502040204020203" pitchFamily="34" charset="0"/>
              <a:cs typeface="Segoe UI" panose="020B0502040204020203" pitchFamily="34" charset="0"/>
            </a:rPr>
            <a:t>CAGR </a:t>
          </a:r>
          <a:endParaRPr lang="en-IN" sz="1100" b="1">
            <a:solidFill>
              <a:srgbClr val="FFC000"/>
            </a:solidFill>
            <a:latin typeface="Segoe UI" panose="020B0502040204020203" pitchFamily="34" charset="0"/>
            <a:cs typeface="Segoe UI" panose="020B0502040204020203" pitchFamily="34" charset="0"/>
          </a:endParaRPr>
        </a:p>
        <a:p>
          <a:pPr algn="l"/>
          <a:r>
            <a:rPr lang="en-IN" sz="500">
              <a:latin typeface="Segoe UI" panose="020B0502040204020203" pitchFamily="34" charset="0"/>
              <a:cs typeface="Segoe UI" panose="020B0502040204020203" pitchFamily="34" charset="0"/>
            </a:rPr>
            <a:t>	</a:t>
          </a:r>
          <a:r>
            <a:rPr lang="en-IN" sz="500" b="1" i="0" u="none">
              <a:solidFill>
                <a:srgbClr val="FFC000"/>
              </a:solidFill>
              <a:latin typeface="Segoe UI" panose="020B0502040204020203" pitchFamily="34" charset="0"/>
              <a:cs typeface="Segoe UI" panose="020B0502040204020203" pitchFamily="34" charset="0"/>
            </a:rPr>
            <a:t>       </a:t>
          </a:r>
          <a:r>
            <a:rPr lang="en-IN" sz="500" b="1" i="0" u="sng">
              <a:solidFill>
                <a:srgbClr val="FFC000"/>
              </a:solidFill>
              <a:latin typeface="Segoe UI" panose="020B0502040204020203" pitchFamily="34" charset="0"/>
              <a:cs typeface="Segoe UI" panose="020B0502040204020203" pitchFamily="34" charset="0"/>
            </a:rPr>
            <a:t> </a:t>
          </a:r>
          <a:r>
            <a:rPr lang="en-IN" sz="1000" b="1" i="0" u="sng">
              <a:solidFill>
                <a:srgbClr val="FFC000"/>
              </a:solidFill>
              <a:latin typeface="Segoe UI" panose="020B0502040204020203" pitchFamily="34" charset="0"/>
              <a:cs typeface="Segoe UI" panose="020B0502040204020203" pitchFamily="34" charset="0"/>
            </a:rPr>
            <a:t>5Y</a:t>
          </a:r>
          <a:r>
            <a:rPr lang="en-IN" sz="1000" b="1" i="0" u="none" baseline="0">
              <a:solidFill>
                <a:srgbClr val="FFC000"/>
              </a:solidFill>
              <a:latin typeface="Segoe UI" panose="020B0502040204020203" pitchFamily="34" charset="0"/>
              <a:cs typeface="Segoe UI" panose="020B0502040204020203" pitchFamily="34" charset="0"/>
            </a:rPr>
            <a:t>  </a:t>
          </a:r>
          <a:r>
            <a:rPr lang="en-IN" sz="500" b="1" i="0" u="none" baseline="0">
              <a:solidFill>
                <a:srgbClr val="FFC000"/>
              </a:solidFill>
              <a:latin typeface="Segoe UI" panose="020B0502040204020203" pitchFamily="34" charset="0"/>
              <a:cs typeface="Segoe UI" panose="020B0502040204020203" pitchFamily="34" charset="0"/>
            </a:rPr>
            <a:t>                  </a:t>
          </a:r>
          <a:r>
            <a:rPr lang="en-IN" sz="1000" b="1" i="0" u="sng" baseline="0">
              <a:solidFill>
                <a:srgbClr val="FFC000"/>
              </a:solidFill>
              <a:latin typeface="Segoe UI" panose="020B0502040204020203" pitchFamily="34" charset="0"/>
              <a:cs typeface="Segoe UI" panose="020B0502040204020203" pitchFamily="34" charset="0"/>
            </a:rPr>
            <a:t>3Y</a:t>
          </a:r>
        </a:p>
        <a:p>
          <a:pPr algn="l"/>
          <a:endParaRPr lang="en-IN" sz="600" baseline="0">
            <a:latin typeface="Segoe UI" panose="020B0502040204020203" pitchFamily="34" charset="0"/>
            <a:cs typeface="Segoe UI" panose="020B0502040204020203" pitchFamily="34" charset="0"/>
          </a:endParaRPr>
        </a:p>
        <a:p>
          <a:pPr algn="l"/>
          <a:r>
            <a:rPr lang="en-IN" sz="900" i="1">
              <a:latin typeface="Segoe UI" panose="020B0502040204020203" pitchFamily="34" charset="0"/>
              <a:cs typeface="Segoe UI" panose="020B0502040204020203" pitchFamily="34" charset="0"/>
            </a:rPr>
            <a:t>REVENUE</a:t>
          </a:r>
          <a:r>
            <a:rPr lang="en-IN" sz="1000" i="1">
              <a:latin typeface="Segoe UI" panose="020B0502040204020203" pitchFamily="34" charset="0"/>
              <a:cs typeface="Segoe UI" panose="020B0502040204020203" pitchFamily="34" charset="0"/>
            </a:rPr>
            <a:t>	</a:t>
          </a:r>
          <a:r>
            <a:rPr lang="en-IN" sz="900" b="1" i="1">
              <a:latin typeface="Segoe UI" panose="020B0502040204020203" pitchFamily="34" charset="0"/>
              <a:cs typeface="Segoe UI" panose="020B0502040204020203" pitchFamily="34" charset="0"/>
            </a:rPr>
            <a:t>22.49%</a:t>
          </a:r>
          <a:r>
            <a:rPr lang="en-IN" sz="900" b="1" i="1" baseline="0">
              <a:latin typeface="Segoe UI" panose="020B0502040204020203" pitchFamily="34" charset="0"/>
              <a:cs typeface="Segoe UI" panose="020B0502040204020203" pitchFamily="34" charset="0"/>
            </a:rPr>
            <a:t>     </a:t>
          </a:r>
          <a:r>
            <a:rPr lang="en-IN" sz="900" b="1" i="1">
              <a:latin typeface="Segoe UI" panose="020B0502040204020203" pitchFamily="34" charset="0"/>
              <a:cs typeface="Segoe UI" panose="020B0502040204020203" pitchFamily="34" charset="0"/>
            </a:rPr>
            <a:t>33.69%</a:t>
          </a:r>
          <a:endParaRPr lang="en-IN" sz="700" b="1" i="1">
            <a:latin typeface="Segoe UI" panose="020B0502040204020203" pitchFamily="34" charset="0"/>
            <a:cs typeface="Segoe UI" panose="020B0502040204020203" pitchFamily="34" charset="0"/>
          </a:endParaRPr>
        </a:p>
        <a:p>
          <a:pPr lvl="0" algn="l"/>
          <a:endParaRPr lang="en-IN" sz="500" i="1">
            <a:latin typeface="Segoe UI" panose="020B0502040204020203" pitchFamily="34" charset="0"/>
            <a:cs typeface="Segoe UI" panose="020B0502040204020203" pitchFamily="34" charset="0"/>
          </a:endParaRPr>
        </a:p>
        <a:p>
          <a:pPr lvl="0" algn="l"/>
          <a:r>
            <a:rPr lang="en-IN" sz="900" i="1">
              <a:latin typeface="Segoe UI" panose="020B0502040204020203" pitchFamily="34" charset="0"/>
              <a:cs typeface="Segoe UI" panose="020B0502040204020203" pitchFamily="34" charset="0"/>
            </a:rPr>
            <a:t>GROSS PROFIT</a:t>
          </a:r>
          <a:r>
            <a:rPr lang="en-IN" sz="1000" i="1">
              <a:latin typeface="Segoe UI" panose="020B0502040204020203" pitchFamily="34" charset="0"/>
              <a:cs typeface="Segoe UI" panose="020B0502040204020203" pitchFamily="34" charset="0"/>
            </a:rPr>
            <a:t>	</a:t>
          </a:r>
          <a:r>
            <a:rPr lang="en-IN" sz="900" b="1" i="1">
              <a:latin typeface="Segoe UI" panose="020B0502040204020203" pitchFamily="34" charset="0"/>
              <a:cs typeface="Segoe UI" panose="020B0502040204020203" pitchFamily="34" charset="0"/>
            </a:rPr>
            <a:t>14.66%     25.74%</a:t>
          </a:r>
          <a:endParaRPr lang="en-IN" sz="700" b="1" i="1">
            <a:latin typeface="Segoe UI" panose="020B0502040204020203" pitchFamily="34" charset="0"/>
            <a:cs typeface="Segoe UI" panose="020B0502040204020203" pitchFamily="34" charset="0"/>
          </a:endParaRPr>
        </a:p>
        <a:p>
          <a:pPr lvl="0" algn="l"/>
          <a:endParaRPr lang="en-IN" sz="500" i="1">
            <a:latin typeface="Segoe UI" panose="020B0502040204020203" pitchFamily="34" charset="0"/>
            <a:cs typeface="Segoe UI" panose="020B0502040204020203" pitchFamily="34" charset="0"/>
          </a:endParaRPr>
        </a:p>
        <a:p>
          <a:pPr lvl="0" algn="l"/>
          <a:r>
            <a:rPr lang="en-IN" sz="900" i="1">
              <a:latin typeface="Segoe UI" panose="020B0502040204020203" pitchFamily="34" charset="0"/>
              <a:cs typeface="Segoe UI" panose="020B0502040204020203" pitchFamily="34" charset="0"/>
            </a:rPr>
            <a:t>EBITDA</a:t>
          </a:r>
          <a:r>
            <a:rPr lang="en-IN" sz="1000" i="1">
              <a:latin typeface="Segoe UI" panose="020B0502040204020203" pitchFamily="34" charset="0"/>
              <a:cs typeface="Segoe UI" panose="020B0502040204020203" pitchFamily="34" charset="0"/>
            </a:rPr>
            <a:t>	</a:t>
          </a:r>
          <a:r>
            <a:rPr lang="en-IN" sz="900" b="1" i="1">
              <a:latin typeface="Segoe UI" panose="020B0502040204020203" pitchFamily="34" charset="0"/>
              <a:cs typeface="Segoe UI" panose="020B0502040204020203" pitchFamily="34" charset="0"/>
            </a:rPr>
            <a:t>14.23%     24.84%</a:t>
          </a:r>
          <a:endParaRPr lang="en-IN" sz="700" b="1" i="1">
            <a:latin typeface="Segoe UI" panose="020B0502040204020203" pitchFamily="34" charset="0"/>
            <a:cs typeface="Segoe UI" panose="020B0502040204020203" pitchFamily="34" charset="0"/>
          </a:endParaRPr>
        </a:p>
        <a:p>
          <a:pPr lvl="0" algn="l"/>
          <a:endParaRPr lang="en-IN" sz="500" i="1">
            <a:latin typeface="Segoe UI" panose="020B0502040204020203" pitchFamily="34" charset="0"/>
            <a:cs typeface="Segoe UI" panose="020B0502040204020203" pitchFamily="34" charset="0"/>
          </a:endParaRPr>
        </a:p>
        <a:p>
          <a:pPr lvl="0" algn="l"/>
          <a:r>
            <a:rPr lang="en-IN" sz="900" i="1">
              <a:latin typeface="Segoe UI" panose="020B0502040204020203" pitchFamily="34" charset="0"/>
              <a:cs typeface="Segoe UI" panose="020B0502040204020203" pitchFamily="34" charset="0"/>
            </a:rPr>
            <a:t>EBIT</a:t>
          </a:r>
          <a:r>
            <a:rPr lang="en-IN" sz="1000" i="1">
              <a:latin typeface="Segoe UI" panose="020B0502040204020203" pitchFamily="34" charset="0"/>
              <a:cs typeface="Segoe UI" panose="020B0502040204020203" pitchFamily="34" charset="0"/>
            </a:rPr>
            <a:t>	</a:t>
          </a:r>
          <a:r>
            <a:rPr lang="en-IN" sz="900" b="1" i="1">
              <a:latin typeface="Segoe UI" panose="020B0502040204020203" pitchFamily="34" charset="0"/>
              <a:cs typeface="Segoe UI" panose="020B0502040204020203" pitchFamily="34" charset="0"/>
            </a:rPr>
            <a:t>16.60%     28.78%</a:t>
          </a:r>
          <a:endParaRPr lang="en-IN" sz="700" b="1" i="1">
            <a:latin typeface="Segoe UI" panose="020B0502040204020203" pitchFamily="34" charset="0"/>
            <a:cs typeface="Segoe UI" panose="020B0502040204020203" pitchFamily="34" charset="0"/>
          </a:endParaRPr>
        </a:p>
        <a:p>
          <a:pPr lvl="0" algn="l"/>
          <a:endParaRPr lang="en-IN" sz="500" i="1">
            <a:latin typeface="Segoe UI" panose="020B0502040204020203" pitchFamily="34" charset="0"/>
            <a:cs typeface="Segoe UI" panose="020B0502040204020203" pitchFamily="34" charset="0"/>
          </a:endParaRPr>
        </a:p>
        <a:p>
          <a:pPr lvl="0" algn="l"/>
          <a:r>
            <a:rPr lang="en-IN" sz="900" i="1">
              <a:latin typeface="Segoe UI" panose="020B0502040204020203" pitchFamily="34" charset="0"/>
              <a:cs typeface="Segoe UI" panose="020B0502040204020203" pitchFamily="34" charset="0"/>
            </a:rPr>
            <a:t>EBT</a:t>
          </a:r>
          <a:r>
            <a:rPr lang="en-IN" sz="1000" i="1">
              <a:latin typeface="Segoe UI" panose="020B0502040204020203" pitchFamily="34" charset="0"/>
              <a:cs typeface="Segoe UI" panose="020B0502040204020203" pitchFamily="34" charset="0"/>
            </a:rPr>
            <a:t>	</a:t>
          </a:r>
          <a:r>
            <a:rPr lang="en-IN" sz="900" b="1" i="1">
              <a:latin typeface="Segoe UI" panose="020B0502040204020203" pitchFamily="34" charset="0"/>
              <a:cs typeface="Segoe UI" panose="020B0502040204020203" pitchFamily="34" charset="0"/>
            </a:rPr>
            <a:t>31.70%     47.61%</a:t>
          </a:r>
          <a:endParaRPr lang="en-IN" sz="700" b="1" i="1">
            <a:latin typeface="Segoe UI" panose="020B0502040204020203" pitchFamily="34" charset="0"/>
            <a:cs typeface="Segoe UI" panose="020B0502040204020203" pitchFamily="34" charset="0"/>
          </a:endParaRPr>
        </a:p>
        <a:p>
          <a:pPr lvl="0" algn="l"/>
          <a:endParaRPr lang="en-IN" sz="500" i="1">
            <a:latin typeface="Segoe UI" panose="020B0502040204020203" pitchFamily="34" charset="0"/>
            <a:cs typeface="Segoe UI" panose="020B0502040204020203" pitchFamily="34" charset="0"/>
          </a:endParaRPr>
        </a:p>
        <a:p>
          <a:pPr lvl="0" algn="l"/>
          <a:r>
            <a:rPr lang="en-IN" sz="900" i="1">
              <a:latin typeface="Segoe UI" panose="020B0502040204020203" pitchFamily="34" charset="0"/>
              <a:cs typeface="Segoe UI" panose="020B0502040204020203" pitchFamily="34" charset="0"/>
            </a:rPr>
            <a:t>PAT</a:t>
          </a:r>
          <a:r>
            <a:rPr lang="en-IN" sz="1000" i="1">
              <a:latin typeface="Segoe UI" panose="020B0502040204020203" pitchFamily="34" charset="0"/>
              <a:cs typeface="Segoe UI" panose="020B0502040204020203" pitchFamily="34" charset="0"/>
            </a:rPr>
            <a:t>	</a:t>
          </a:r>
          <a:r>
            <a:rPr lang="en-IN" sz="900" b="1" i="1">
              <a:latin typeface="Segoe UI" panose="020B0502040204020203" pitchFamily="34" charset="0"/>
              <a:cs typeface="Segoe UI" panose="020B0502040204020203" pitchFamily="34" charset="0"/>
            </a:rPr>
            <a:t>34.52%     47.60%</a:t>
          </a:r>
          <a:endParaRPr lang="en-IN" sz="700" b="1" i="1">
            <a:latin typeface="Segoe UI" panose="020B0502040204020203" pitchFamily="34" charset="0"/>
            <a:cs typeface="Segoe UI" panose="020B0502040204020203" pitchFamily="34" charset="0"/>
          </a:endParaRPr>
        </a:p>
        <a:p>
          <a:pPr lvl="0" algn="l"/>
          <a:endParaRPr lang="en-IN" sz="500" i="1">
            <a:latin typeface="Segoe UI" panose="020B0502040204020203" pitchFamily="34" charset="0"/>
            <a:cs typeface="Segoe UI" panose="020B0502040204020203" pitchFamily="34" charset="0"/>
          </a:endParaRPr>
        </a:p>
        <a:p>
          <a:pPr lvl="0" algn="l"/>
          <a:r>
            <a:rPr lang="en-IN" sz="900" i="1">
              <a:latin typeface="Segoe UI" panose="020B0502040204020203" pitchFamily="34" charset="0"/>
              <a:cs typeface="Segoe UI" panose="020B0502040204020203" pitchFamily="34" charset="0"/>
            </a:rPr>
            <a:t>EPS (BASIC)</a:t>
          </a:r>
          <a:r>
            <a:rPr lang="en-IN" sz="1000" i="1" baseline="0">
              <a:latin typeface="Segoe UI" panose="020B0502040204020203" pitchFamily="34" charset="0"/>
              <a:cs typeface="Segoe UI" panose="020B0502040204020203" pitchFamily="34" charset="0"/>
            </a:rPr>
            <a:t> 	</a:t>
          </a:r>
          <a:r>
            <a:rPr lang="en-IN" sz="900" b="1" i="1" baseline="0">
              <a:latin typeface="Segoe UI" panose="020B0502040204020203" pitchFamily="34" charset="0"/>
              <a:cs typeface="Segoe UI" panose="020B0502040204020203" pitchFamily="34" charset="0"/>
            </a:rPr>
            <a:t>29.14%     47.54%</a:t>
          </a:r>
          <a:endParaRPr lang="en-IN" sz="1000" b="1" i="1">
            <a:latin typeface="Segoe UI" panose="020B0502040204020203" pitchFamily="34" charset="0"/>
            <a:cs typeface="Segoe UI" panose="020B0502040204020203" pitchFamily="34" charset="0"/>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0.81005</cdr:x>
      <cdr:y>0.78088</cdr:y>
    </cdr:from>
    <cdr:to>
      <cdr:x>1</cdr:x>
      <cdr:y>1</cdr:y>
    </cdr:to>
    <cdr:sp macro="" textlink="SOPL!$B$76">
      <cdr:nvSpPr>
        <cdr:cNvPr id="2" name="Rectangle: Rounded Corners 1">
          <a:extLst xmlns:a="http://schemas.openxmlformats.org/drawingml/2006/main">
            <a:ext uri="{FF2B5EF4-FFF2-40B4-BE49-F238E27FC236}">
              <a16:creationId xmlns:a16="http://schemas.microsoft.com/office/drawing/2014/main" id="{BA9D45D6-5429-A984-C4A9-9C0FA7110E9C}"/>
            </a:ext>
          </a:extLst>
        </cdr:cNvPr>
        <cdr:cNvSpPr/>
      </cdr:nvSpPr>
      <cdr:spPr>
        <a:xfrm xmlns:a="http://schemas.openxmlformats.org/drawingml/2006/main">
          <a:off x="4511476" y="2079608"/>
          <a:ext cx="1040618" cy="583537"/>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B2F70CF6-5E02-499B-B65B-927B96AEAEC1}" type="TxLink">
            <a:rPr lang="en-US" sz="1600" b="1" i="0" u="none" strike="noStrike">
              <a:solidFill>
                <a:schemeClr val="bg1"/>
              </a:solidFill>
              <a:latin typeface="Calibri"/>
              <a:ea typeface="Calibri"/>
              <a:cs typeface="Calibri"/>
            </a:rPr>
            <a:pPr algn="ctr"/>
            <a:t>FY19</a:t>
          </a:fld>
          <a:endParaRPr lang="en-US" sz="1600" b="1" i="0" u="none" strike="noStrike">
            <a:solidFill>
              <a:schemeClr val="bg1"/>
            </a:solidFill>
            <a:latin typeface="Calibri"/>
            <a:ea typeface="Calibri"/>
            <a:cs typeface="Calibri"/>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0.32857</cdr:x>
      <cdr:y>0.66326</cdr:y>
    </cdr:from>
    <cdr:to>
      <cdr:x>0.67573</cdr:x>
      <cdr:y>0.88463</cdr:y>
    </cdr:to>
    <cdr:sp macro="" textlink="SOPL!$B$76">
      <cdr:nvSpPr>
        <cdr:cNvPr id="3" name="Rectangle: Rounded Corners 2">
          <a:extLst xmlns:a="http://schemas.openxmlformats.org/drawingml/2006/main">
            <a:ext uri="{FF2B5EF4-FFF2-40B4-BE49-F238E27FC236}">
              <a16:creationId xmlns:a16="http://schemas.microsoft.com/office/drawing/2014/main" id="{D04BC822-FAE6-C28E-B8F1-4DBC8C73D537}"/>
            </a:ext>
          </a:extLst>
        </cdr:cNvPr>
        <cdr:cNvSpPr/>
      </cdr:nvSpPr>
      <cdr:spPr>
        <a:xfrm xmlns:a="http://schemas.openxmlformats.org/drawingml/2006/main">
          <a:off x="985123" y="1748828"/>
          <a:ext cx="1040865" cy="583696"/>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A3BBC18-BF94-444B-B23D-D03637CCBF14}" type="TxLink">
            <a:rPr lang="en-US" sz="1600" b="1" i="0" u="none" strike="noStrike">
              <a:solidFill>
                <a:schemeClr val="bg1"/>
              </a:solidFill>
              <a:latin typeface="Calibri"/>
              <a:ea typeface="Calibri"/>
              <a:cs typeface="Calibri"/>
            </a:rPr>
            <a:pPr algn="ctr"/>
            <a:t>FY19</a:t>
          </a:fld>
          <a:endParaRPr lang="en-US" sz="1600" b="1" i="0" u="none" strike="noStrike">
            <a:solidFill>
              <a:schemeClr val="bg1"/>
            </a:solidFill>
            <a:latin typeface="Calibri"/>
            <a:ea typeface="Calibri"/>
            <a:cs typeface="Calibri"/>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0.00325</cdr:x>
      <cdr:y>0.82866</cdr:y>
    </cdr:from>
    <cdr:to>
      <cdr:x>0.25044</cdr:x>
      <cdr:y>1</cdr:y>
    </cdr:to>
    <cdr:sp macro="" textlink="SOPL!$B$76">
      <cdr:nvSpPr>
        <cdr:cNvPr id="2" name="Rectangle: Rounded Corners 1">
          <a:extLst xmlns:a="http://schemas.openxmlformats.org/drawingml/2006/main">
            <a:ext uri="{FF2B5EF4-FFF2-40B4-BE49-F238E27FC236}">
              <a16:creationId xmlns:a16="http://schemas.microsoft.com/office/drawing/2014/main" id="{83360180-0B2C-B6A8-2205-E441FBAF1AAD}"/>
            </a:ext>
          </a:extLst>
        </cdr:cNvPr>
        <cdr:cNvSpPr/>
      </cdr:nvSpPr>
      <cdr:spPr>
        <a:xfrm xmlns:a="http://schemas.openxmlformats.org/drawingml/2006/main">
          <a:off x="13467" y="2191004"/>
          <a:ext cx="1024304" cy="453028"/>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FD515689-957D-4957-AC5C-7D03405EFDF7}" type="TxLink">
            <a:rPr lang="en-US" sz="1600" b="1" i="0" u="none" strike="noStrike">
              <a:solidFill>
                <a:schemeClr val="bg1"/>
              </a:solidFill>
              <a:latin typeface="Calibri"/>
              <a:ea typeface="Calibri"/>
              <a:cs typeface="Calibri"/>
            </a:rPr>
            <a:pPr algn="ctr"/>
            <a:t>FY19</a:t>
          </a:fld>
          <a:endParaRPr lang="en-US" sz="1600" b="1" i="0" u="none" strike="noStrike">
            <a:solidFill>
              <a:schemeClr val="bg1"/>
            </a:solidFill>
            <a:latin typeface="Calibri"/>
            <a:ea typeface="Calibri"/>
            <a:cs typeface="Calibri"/>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10" refreshedDate="46234.114333680554" createdVersion="8" refreshedVersion="8" minRefreshableVersion="3" recordCount="9" xr:uid="{B8CF17E5-6F80-4A65-8199-27153021F1E2}">
  <cacheSource type="worksheet">
    <worksheetSource name="Table7"/>
  </cacheSource>
  <cacheFields count="30">
    <cacheField name="Year" numFmtId="164">
      <sharedItems containsSemiMixedTypes="0" containsString="0" containsNumber="1" containsInteger="1" minValue="17" maxValue="25" count="9">
        <n v="17"/>
        <n v="18"/>
        <n v="19"/>
        <n v="20"/>
        <n v="21"/>
        <n v="22"/>
        <n v="23"/>
        <n v="24"/>
        <n v="25"/>
      </sharedItems>
    </cacheField>
    <cacheField name="Revenue" numFmtId="43">
      <sharedItems containsSemiMixedTypes="0" containsString="0" containsNumber="1" minValue="73255.09" maxValue="216385.95"/>
    </cacheField>
    <cacheField name="Gross profit" numFmtId="43">
      <sharedItems containsSemiMixedTypes="0" containsString="0" containsNumber="1" minValue="12269.33" maxValue="27571.4"/>
    </cacheField>
    <cacheField name="EBITDA" numFmtId="43">
      <sharedItems containsSemiMixedTypes="0" containsString="0" containsNumber="1" minValue="3828.21" maxValue="14280.91"/>
    </cacheField>
    <cacheField name="EBIT" numFmtId="43">
      <sharedItems containsSemiMixedTypes="0" containsString="0" containsNumber="1" minValue="2921.96" maxValue="11819.46"/>
    </cacheField>
    <cacheField name="EBT" numFmtId="43">
      <sharedItems containsSemiMixedTypes="0" containsString="0" containsNumber="1" minValue="644.36" maxValue="9322.65"/>
    </cacheField>
    <cacheField name="PAT" numFmtId="43">
      <sharedItems containsSemiMixedTypes="0" containsString="0" containsNumber="1" minValue="449.34" maxValue="6886.82"/>
    </cacheField>
    <cacheField name="EPS (Basic) (₹/share)" numFmtId="43">
      <sharedItems containsSemiMixedTypes="0" containsString="0" containsNumber="1" minValue="0.54" maxValue="6.68"/>
    </cacheField>
    <cacheField name="Revenue Growth" numFmtId="0">
      <sharedItems containsSemiMixedTypes="0" containsString="0" containsNumber="1" minValue="-9.7579548564779905E-2" maxValue="0.37104442415341543"/>
    </cacheField>
    <cacheField name="Interest Cover" numFmtId="165">
      <sharedItems containsSemiMixedTypes="0" containsString="0" containsNumber="1" minValue="1.282911837021427" maxValue="4.7338243598832079"/>
    </cacheField>
    <cacheField name="Gross Profit Margin %" numFmtId="10">
      <sharedItems containsSemiMixedTypes="0" containsString="0" containsNumber="1" minValue="0.12741769971664058" maxValue="0.17921664986273345"/>
    </cacheField>
    <cacheField name="EBITDA Margin %" numFmtId="10">
      <sharedItems containsSemiMixedTypes="0" containsString="0" containsNumber="1" minValue="5.139802200971353E-2" maxValue="9.3607479951760345E-2"/>
    </cacheField>
    <cacheField name="EBIT Margin %" numFmtId="10">
      <sharedItems containsSemiMixedTypes="0" containsString="0" containsNumber="1" minValue="3.923059716982677E-2" maxValue="6.9903793431054934E-2"/>
    </cacheField>
    <cacheField name="EBT Margin %" numFmtId="10">
      <sharedItems containsSemiMixedTypes="0" containsString="0" containsNumber="1" minValue="8.6512572356738562E-3" maxValue="4.8198536190878057E-2"/>
    </cacheField>
    <cacheField name="PAT Margin %" numFmtId="10">
      <sharedItems containsSemiMixedTypes="0" containsString="0" containsNumber="1" minValue="6.0328945407500311E-3" maxValue="3.5105704947922589E-2"/>
    </cacheField>
    <cacheField name="EPS Growth %" numFmtId="0">
      <sharedItems containsSemiMixedTypes="0" containsString="0" containsNumber="1" minValue="-0.6707317073170731" maxValue="2.4444444444444442"/>
    </cacheField>
    <cacheField name="CFO" numFmtId="43">
      <sharedItems containsSemiMixedTypes="0" containsString="0" containsNumber="1" minValue="-263.39" maxValue="9855.6299999999992"/>
    </cacheField>
    <cacheField name="CFI" numFmtId="43">
      <sharedItems containsSemiMixedTypes="0" containsString="0" containsNumber="1" minValue="-3617.53" maxValue="1439.7"/>
    </cacheField>
    <cacheField name="CFF" numFmtId="43">
      <sharedItems containsSemiMixedTypes="0" containsString="0" containsNumber="1" minValue="-8327.49" maxValue="702.56"/>
    </cacheField>
    <cacheField name="Current Ratio" numFmtId="43">
      <sharedItems containsSemiMixedTypes="0" containsString="0" containsNumber="1" minValue="1.1211781065321422" maxValue="1.3544523730263924"/>
    </cacheField>
    <cacheField name="Quick Ratio" numFmtId="43">
      <sharedItems containsSemiMixedTypes="0" containsString="0" containsNumber="1" minValue="0.1429595485745912" maxValue="0.280787130589848"/>
    </cacheField>
    <cacheField name="Gearing Ratio (D/E)" numFmtId="165">
      <sharedItems containsSemiMixedTypes="0" containsString="0" containsNumber="1" minValue="3.7605496101031602E-2" maxValue="0.31796585657536719"/>
    </cacheField>
    <cacheField name="Working Capital Cycle" numFmtId="166">
      <sharedItems containsSemiMixedTypes="0" containsString="0" containsNumber="1" minValue="114.90037227221224" maxValue="232.62413537996255"/>
    </cacheField>
    <cacheField name="GP GROWTH" numFmtId="0">
      <sharedItems containsSemiMixedTypes="0" containsString="0" containsNumber="1" minValue="-0.10753976070961779" maxValue="0.30513529376983839"/>
    </cacheField>
    <cacheField name="EBITDA GROWTH" numFmtId="0">
      <sharedItems containsSemiMixedTypes="0" containsString="0" containsNumber="1" minValue="-0.28454568900750177" maxValue="0.91846319820490518"/>
    </cacheField>
    <cacheField name="EBIT GROWTH" numFmtId="0">
      <sharedItems containsSemiMixedTypes="0" containsString="0" containsNumber="1" minValue="-0.3553357617048315" maxValue="0.87700379197524936"/>
    </cacheField>
    <cacheField name="EBT GROWTH" numFmtId="0">
      <sharedItems containsSemiMixedTypes="0" containsString="0" containsNumber="1" minValue="-0.70649807326160818" maxValue="2.6520888944068535"/>
    </cacheField>
    <cacheField name="PAT GROWTH" numFmtId="0">
      <sharedItems containsSemiMixedTypes="0" containsString="0" containsNumber="1" minValue="-0.67342103350534199" maxValue="2.4795700360528778"/>
    </cacheField>
    <cacheField name="ROCE %" numFmtId="10">
      <sharedItems containsSemiMixedTypes="0" containsString="0" containsNumber="1" minValue="0.13061957979436742" maxValue="0.25857002434829884"/>
    </cacheField>
    <cacheField name="ROE %" numFmtId="10">
      <sharedItems containsSemiMixedTypes="0" containsString="0" containsNumber="1" minValue="3.0316631803198782E-2" maxValue="0.19514646267796296"/>
    </cacheField>
  </cacheFields>
  <extLst>
    <ext xmlns:x14="http://schemas.microsoft.com/office/spreadsheetml/2009/9/main" uri="{725AE2AE-9491-48be-B2B4-4EB974FC3084}">
      <x14:pivotCacheDefinition pivotCacheId="86432034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10" refreshedDate="46234.114334722224" createdVersion="8" refreshedVersion="8" minRefreshableVersion="3" recordCount="9" xr:uid="{295DC635-2EBC-40DD-B9A8-232037D2A841}">
  <cacheSource type="worksheet">
    <worksheetSource name="Table2"/>
  </cacheSource>
  <cacheFields count="4">
    <cacheField name="Year" numFmtId="164">
      <sharedItems count="9">
        <s v="FY17"/>
        <s v="FY18"/>
        <s v="FY19"/>
        <s v="FY20"/>
        <s v="FY21"/>
        <s v="FY22"/>
        <s v="FY23"/>
        <s v="FY24"/>
        <s v="FY25"/>
      </sharedItems>
    </cacheField>
    <cacheField name="CFO" numFmtId="0">
      <sharedItems containsNonDate="0" containsString="0" containsBlank="1"/>
    </cacheField>
    <cacheField name="CFI" numFmtId="0">
      <sharedItems containsNonDate="0" containsString="0" containsBlank="1"/>
    </cacheField>
    <cacheField name="CFF" numFmtId="0">
      <sharedItems containsNonDate="0" containsString="0" containsBlank="1"/>
    </cacheField>
  </cacheFields>
  <extLst>
    <ext xmlns:x14="http://schemas.microsoft.com/office/spreadsheetml/2009/9/main" uri="{725AE2AE-9491-48be-B2B4-4EB974FC3084}">
      <x14:pivotCacheDefinition pivotCacheId="19515900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n v="74952.689999999988"/>
    <n v="13432.77"/>
    <n v="5302.55"/>
    <n v="4527.1499999999996"/>
    <n v="1389"/>
    <n v="1144.82"/>
    <n v="1.36"/>
    <n v="0"/>
    <n v="1.4426174657043105"/>
    <n v="0.17921664986273345"/>
    <n v="7.074529279736326E-2"/>
    <n v="6.0400100383321803E-2"/>
    <n v="1.8531689789919484E-2"/>
    <n v="1.5273901443697353E-2"/>
    <n v="0"/>
    <n v="498.64"/>
    <n v="-1150.55"/>
    <n v="702.56"/>
    <n v="1.1211781065321422"/>
    <n v="0.21636080183380751"/>
    <n v="0.17685092647614931"/>
    <n v="165.14029163720323"/>
    <n v="0"/>
    <n v="0"/>
    <n v="0"/>
    <n v="0"/>
    <n v="0"/>
    <n v="0.25857002434829884"/>
    <n v="9.379558100588839E-2"/>
  </r>
  <r>
    <x v="1"/>
    <n v="82535.429999999993"/>
    <n v="13258.48"/>
    <n v="5350.74"/>
    <n v="4532.53"/>
    <n v="2195.42"/>
    <n v="1375.9"/>
    <n v="1.64"/>
    <n v="0.10116701615378987"/>
    <n v="1.9393738420527895"/>
    <n v="0.16063986096637531"/>
    <n v="6.482961317339718E-2"/>
    <n v="5.4916173575396653E-2"/>
    <n v="2.6599728140993515E-2"/>
    <n v="1.6670416571404549E-2"/>
    <n v="0.20588235294117641"/>
    <n v="9690.59"/>
    <n v="-2979.84"/>
    <n v="-6194.19"/>
    <n v="1.1834953339659358"/>
    <n v="0.27572933415192363"/>
    <n v="7.9212209020053853E-2"/>
    <n v="114.90037227221224"/>
    <n v="-1.2974985799652727E-2"/>
    <n v="9.0880802632695712E-3"/>
    <n v="1.1883856289276462E-3"/>
    <n v="0.58057595392368611"/>
    <n v="0.20184832550095222"/>
    <n v="0.19986074879930016"/>
    <n v="0.10553391869818651"/>
  </r>
  <r>
    <x v="2"/>
    <n v="74481.66"/>
    <n v="12269.33"/>
    <n v="3828.21"/>
    <n v="2921.96"/>
    <n v="644.36"/>
    <n v="449.34"/>
    <n v="0.54"/>
    <n v="-9.7579548564779905E-2"/>
    <n v="1.282911837021427"/>
    <n v="0.16472954550153687"/>
    <n v="5.139802200971353E-2"/>
    <n v="3.923059716982677E-2"/>
    <n v="8.6512572356738562E-3"/>
    <n v="6.0328945407500311E-3"/>
    <n v="-0.6707317073170731"/>
    <n v="-263.39"/>
    <n v="1434.64"/>
    <n v="-1418.2"/>
    <n v="1.1940639071507391"/>
    <n v="0.25935740876889263"/>
    <n v="3.7605496101031602E-2"/>
    <n v="190.84931824163289"/>
    <n v="-7.460508293560042E-2"/>
    <n v="-0.28454568900750177"/>
    <n v="-0.3553357617048315"/>
    <n v="-0.70649807326160818"/>
    <n v="-0.67342103350534199"/>
    <n v="0.13061957979436742"/>
    <n v="3.0316631803198782E-2"/>
  </r>
  <r>
    <x v="3"/>
    <n v="78458.259999999995"/>
    <n v="13909.46"/>
    <n v="7344.28"/>
    <n v="5484.53"/>
    <n v="2353.2600000000002"/>
    <n v="1563.51"/>
    <n v="1.86"/>
    <n v="5.3390324544323908E-2"/>
    <n v="1.7515353195348822"/>
    <n v="0.17728483909788467"/>
    <n v="9.3607479951760345E-2"/>
    <n v="6.9903793431054934E-2"/>
    <n v="2.9993782681390083E-2"/>
    <n v="1.9927920909793312E-2"/>
    <n v="2.4444444444444442"/>
    <n v="1561.58"/>
    <n v="38.630000000000003"/>
    <n v="-1257.67"/>
    <n v="1.2275499872922491"/>
    <n v="0.280787130589848"/>
    <n v="0.31796585657536719"/>
    <n v="188.86174915611815"/>
    <n v="0.13367722605879861"/>
    <n v="0.91846319820490518"/>
    <n v="0.87700379197524936"/>
    <n v="2.6520888944068535"/>
    <n v="2.4795700360528778"/>
    <n v="0.19128535943454197"/>
    <n v="0.10908003726759898"/>
  </r>
  <r>
    <x v="4"/>
    <n v="73255.09"/>
    <n v="12413.64"/>
    <n v="6775.76"/>
    <n v="5035.53"/>
    <n v="1874.85"/>
    <n v="1382.32"/>
    <n v="1.63"/>
    <n v="-6.6317682803569644E-2"/>
    <n v="1.5931793158434264"/>
    <n v="0.16945771276780905"/>
    <n v="9.2495415676917478E-2"/>
    <n v="6.8739660274801384E-2"/>
    <n v="2.5593443404410533E-2"/>
    <n v="1.8869951562410201E-2"/>
    <n v="-0.12365591397849474"/>
    <n v="5159.1400000000003"/>
    <n v="-3099.35"/>
    <n v="-225.07"/>
    <n v="1.2931956589539382"/>
    <n v="0.25796441157555666"/>
    <n v="0.20511441611291947"/>
    <n v="232.62413537996255"/>
    <n v="-0.10753976070961779"/>
    <n v="-7.7409902672555986E-2"/>
    <n v="-8.186663214532508E-2"/>
    <n v="-0.20329670329670346"/>
    <n v="-0.11588669084303904"/>
    <n v="0.13707191312379188"/>
    <n v="6.1969334789426227E-2"/>
  </r>
  <r>
    <x v="5"/>
    <n v="90560.87"/>
    <n v="13868.34"/>
    <n v="7339.84"/>
    <n v="5534.61"/>
    <n v="2898.57"/>
    <n v="2141.7199999999998"/>
    <n v="2.08"/>
    <n v="0.23623996639687417"/>
    <n v="2.0995925706741918"/>
    <n v="0.15313832563666846"/>
    <n v="8.1048691338764745E-2"/>
    <n v="6.1114805986294082E-2"/>
    <n v="3.2006870075342697E-2"/>
    <n v="2.3649507784101454E-2"/>
    <n v="0.27607361963190202"/>
    <n v="1086.08"/>
    <n v="1439.7"/>
    <n v="-4737.4799999999996"/>
    <n v="1.3544523730263924"/>
    <n v="0.1429595485745912"/>
    <n v="0.16796213456667067"/>
    <n v="203.84831278395978"/>
    <n v="0.11718561195588095"/>
    <n v="8.3249701878460813E-2"/>
    <n v="9.9111712173296507E-2"/>
    <n v="0.54602768221457731"/>
    <n v="0.54936628277099353"/>
    <n v="0.14417803999392506"/>
    <n v="8.8816282356949799E-2"/>
  </r>
  <r>
    <x v="6"/>
    <n v="115840.24"/>
    <n v="18100.060000000001"/>
    <n v="9757.14"/>
    <n v="7926.52"/>
    <n v="5583.33"/>
    <n v="3898.11"/>
    <n v="3.78"/>
    <n v="0.27914230505956938"/>
    <n v="3.3827901279879122"/>
    <n v="0.156250194233023"/>
    <n v="8.4229279911712876E-2"/>
    <n v="6.8426308509029338E-2"/>
    <n v="4.8198536190878057E-2"/>
    <n v="3.3650741745700805E-2"/>
    <n v="0.81730769230769207"/>
    <n v="7145.97"/>
    <n v="-3617.53"/>
    <n v="-3758.46"/>
    <n v="1.3468403733854086"/>
    <n v="0.17377700018805586"/>
    <n v="0.17225500747009098"/>
    <n v="184.09203912477645"/>
    <n v="0.30513529376983839"/>
    <n v="0.32933960413306007"/>
    <n v="0.43217317932067489"/>
    <n v="0.92623604053033026"/>
    <n v="0.82008385783389071"/>
    <n v="0.18319669980985862"/>
    <n v="0.15227449134380364"/>
  </r>
  <r>
    <x v="7"/>
    <n v="157825.63"/>
    <n v="22910.92"/>
    <n v="11921.58"/>
    <n v="9857.73"/>
    <n v="7441.21"/>
    <n v="5540.58"/>
    <n v="5.38"/>
    <n v="0.36244218761977698"/>
    <n v="4.0793082614669087"/>
    <n v="0.14516602911707052"/>
    <n v="7.5536400519991581E-2"/>
    <n v="6.2459627121399734E-2"/>
    <n v="4.7148299043697779E-2"/>
    <n v="3.5105704947922589E-2"/>
    <n v="0.42328042328042326"/>
    <n v="9855.6299999999992"/>
    <n v="-1163.6199999999999"/>
    <n v="-8327.49"/>
    <n v="1.3341202684375526"/>
    <n v="0.17005137989674962"/>
    <n v="0.22487550846542437"/>
    <n v="147.69691524402782"/>
    <n v="0.26579248908567132"/>
    <n v="0.22183139731519685"/>
    <n v="0.24363907490298375"/>
    <n v="0.33275482552526903"/>
    <n v="0.42135034670648075"/>
    <n v="0.19186342873503101"/>
    <n v="0.17857689677101957"/>
  </r>
  <r>
    <x v="8"/>
    <n v="216385.95"/>
    <n v="27571.4"/>
    <n v="14280.91"/>
    <n v="11819.46"/>
    <n v="9322.65"/>
    <n v="6886.82"/>
    <n v="6.68"/>
    <n v="0.37104442415341543"/>
    <n v="4.7338243598832079"/>
    <n v="0.12741769971664058"/>
    <n v="6.5997399553898939E-2"/>
    <n v="5.4622123109194468E-2"/>
    <n v="4.3083434945753174E-2"/>
    <n v="3.1826558055178721E-2"/>
    <n v="0.24163568773234201"/>
    <n v="9732.9599999999991"/>
    <n v="-2931.5"/>
    <n v="-5130.1099999999997"/>
    <n v="1.3236986985667925"/>
    <n v="0.18399488806035902"/>
    <n v="0.25611930525837207"/>
    <n v="116.30420202473532"/>
    <n v="0.20341740968935351"/>
    <n v="0.19790413686776409"/>
    <n v="0.19900423322610772"/>
    <n v="0.25284059984868046"/>
    <n v="0.24297817196033633"/>
    <n v="0.19474847135237738"/>
    <n v="0.1951464626779629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m/>
    <m/>
    <m/>
  </r>
  <r>
    <x v="1"/>
    <m/>
    <m/>
    <m/>
  </r>
  <r>
    <x v="2"/>
    <m/>
    <m/>
    <m/>
  </r>
  <r>
    <x v="3"/>
    <m/>
    <m/>
    <m/>
  </r>
  <r>
    <x v="4"/>
    <m/>
    <m/>
    <m/>
  </r>
  <r>
    <x v="5"/>
    <m/>
    <m/>
    <m/>
  </r>
  <r>
    <x v="6"/>
    <m/>
    <m/>
    <m/>
  </r>
  <r>
    <x v="7"/>
    <m/>
    <m/>
    <m/>
  </r>
  <r>
    <x v="8"/>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14BEB8-1191-4FF5-B34F-72C418048EA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8:L79" firstHeaderRow="0" firstDataRow="1" firstDataCol="0" rowPageCount="1" colPageCount="1"/>
  <pivotFields count="30">
    <pivotField axis="axisPage" numFmtId="164" multipleItemSelectionAllowed="1" showAll="0">
      <items count="10">
        <item h="1" x="0"/>
        <item h="1" x="1"/>
        <item x="2"/>
        <item h="1" x="3"/>
        <item h="1" x="4"/>
        <item h="1" x="5"/>
        <item h="1" x="6"/>
        <item h="1" x="7"/>
        <item h="1" x="8"/>
        <item t="default"/>
      </items>
    </pivotField>
    <pivotField numFmtId="43" showAll="0"/>
    <pivotField numFmtId="43" showAll="0"/>
    <pivotField numFmtId="43" showAll="0"/>
    <pivotField numFmtId="43" showAll="0"/>
    <pivotField numFmtId="43" showAll="0"/>
    <pivotField numFmtId="43" showAll="0"/>
    <pivotField numFmtId="43" showAll="0"/>
    <pivotField showAll="0"/>
    <pivotField numFmtId="165" showAll="0"/>
    <pivotField dataField="1" numFmtId="10" showAll="0"/>
    <pivotField dataField="1" numFmtId="10" showAll="0"/>
    <pivotField dataField="1" numFmtId="10" showAll="0"/>
    <pivotField dataField="1" numFmtId="10" showAll="0"/>
    <pivotField dataField="1" numFmtId="10" showAll="0"/>
    <pivotField showAll="0"/>
    <pivotField dataField="1" numFmtId="43" showAll="0"/>
    <pivotField dataField="1" numFmtId="43" showAll="0"/>
    <pivotField dataField="1" numFmtId="43" showAll="0"/>
    <pivotField dataField="1" numFmtId="43" showAll="0"/>
    <pivotField dataField="1" numFmtId="43" showAll="0"/>
    <pivotField numFmtId="165" showAll="0"/>
    <pivotField numFmtId="166" showAll="0"/>
    <pivotField showAll="0"/>
    <pivotField showAll="0"/>
    <pivotField showAll="0"/>
    <pivotField showAll="0"/>
    <pivotField showAll="0"/>
    <pivotField dataField="1" numFmtId="10" showAll="0"/>
    <pivotField dataField="1" numFmtId="10" showAll="0"/>
  </pivotFields>
  <rowItems count="1">
    <i/>
  </rowItems>
  <colFields count="1">
    <field x="-2"/>
  </colFields>
  <colItems count="12">
    <i>
      <x/>
    </i>
    <i i="1">
      <x v="1"/>
    </i>
    <i i="2">
      <x v="2"/>
    </i>
    <i i="3">
      <x v="3"/>
    </i>
    <i i="4">
      <x v="4"/>
    </i>
    <i i="5">
      <x v="5"/>
    </i>
    <i i="6">
      <x v="6"/>
    </i>
    <i i="7">
      <x v="7"/>
    </i>
    <i i="8">
      <x v="8"/>
    </i>
    <i i="9">
      <x v="9"/>
    </i>
    <i i="10">
      <x v="10"/>
    </i>
    <i i="11">
      <x v="11"/>
    </i>
  </colItems>
  <pageFields count="1">
    <pageField fld="0" hier="-1"/>
  </pageFields>
  <dataFields count="12">
    <dataField name=" Gross Profit Margin %" fld="10" subtotal="average" baseField="0" baseItem="1" numFmtId="10"/>
    <dataField name=" EBITDA Margin %" fld="11" subtotal="average" baseField="0" baseItem="2" numFmtId="10"/>
    <dataField name=" EBIT Margin %" fld="12" subtotal="average" baseField="0" baseItem="3" numFmtId="10"/>
    <dataField name=" EBT Margin %" fld="13" subtotal="average" baseField="0" baseItem="4" numFmtId="10"/>
    <dataField name=" PAT Margin %" fld="14" subtotal="average" baseField="0" baseItem="5" numFmtId="10"/>
    <dataField name=" Current Ratio" fld="19" subtotal="average" baseField="0" baseItem="5" numFmtId="43"/>
    <dataField name=" Quick Ratio" fld="20" subtotal="average" baseField="0" baseItem="6" numFmtId="43"/>
    <dataField name=" ROCE %" fld="28" subtotal="average" baseField="0" baseItem="7" numFmtId="10"/>
    <dataField name=" ROE %" fld="29" subtotal="average" baseField="0" baseItem="8" numFmtId="10"/>
    <dataField name=" CFO" fld="16" subtotal="average" baseField="0" baseItem="9" numFmtId="43"/>
    <dataField name=" CFI" fld="17" subtotal="average" baseField="0" baseItem="10" numFmtId="43"/>
    <dataField name=" CFF" fld="18" subtotal="average" baseField="0" baseItem="11"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97C947-2608-44E4-ADB6-1E57E448CC0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0:G61" firstHeaderRow="0" firstDataRow="1" firstDataCol="0" rowPageCount="1" colPageCount="1"/>
  <pivotFields count="30">
    <pivotField axis="axisPage" numFmtId="164" multipleItemSelectionAllowed="1" showAll="0">
      <items count="10">
        <item h="1" x="0"/>
        <item h="1" x="1"/>
        <item x="2"/>
        <item h="1" x="3"/>
        <item h="1" x="4"/>
        <item h="1" x="5"/>
        <item h="1" x="6"/>
        <item h="1" x="7"/>
        <item h="1" x="8"/>
        <item t="default"/>
      </items>
    </pivotField>
    <pivotField numFmtId="43" showAll="0"/>
    <pivotField numFmtId="43" showAll="0"/>
    <pivotField numFmtId="43" showAll="0"/>
    <pivotField numFmtId="43" showAll="0"/>
    <pivotField numFmtId="43" showAll="0"/>
    <pivotField numFmtId="43" showAll="0"/>
    <pivotField numFmtId="43" showAll="0"/>
    <pivotField dataField="1" showAll="0"/>
    <pivotField numFmtId="165" showAll="0"/>
    <pivotField numFmtId="10" showAll="0"/>
    <pivotField numFmtId="10" showAll="0"/>
    <pivotField numFmtId="10" showAll="0"/>
    <pivotField numFmtId="10" showAll="0"/>
    <pivotField numFmtId="10" showAll="0"/>
    <pivotField dataField="1" showAll="0"/>
    <pivotField numFmtId="43" showAll="0"/>
    <pivotField numFmtId="43" showAll="0"/>
    <pivotField numFmtId="43" showAll="0"/>
    <pivotField numFmtId="43" showAll="0"/>
    <pivotField numFmtId="43" showAll="0"/>
    <pivotField numFmtId="165" showAll="0"/>
    <pivotField numFmtId="166" showAll="0"/>
    <pivotField dataField="1" showAll="0"/>
    <pivotField dataField="1" showAll="0"/>
    <pivotField dataField="1" showAll="0"/>
    <pivotField dataField="1" showAll="0"/>
    <pivotField dataField="1" showAll="0"/>
    <pivotField numFmtId="10" showAll="0"/>
    <pivotField numFmtId="10" showAll="0"/>
  </pivotFields>
  <rowItems count="1">
    <i/>
  </rowItems>
  <colFields count="1">
    <field x="-2"/>
  </colFields>
  <colItems count="7">
    <i>
      <x/>
    </i>
    <i i="1">
      <x v="1"/>
    </i>
    <i i="2">
      <x v="2"/>
    </i>
    <i i="3">
      <x v="3"/>
    </i>
    <i i="4">
      <x v="4"/>
    </i>
    <i i="5">
      <x v="5"/>
    </i>
    <i i="6">
      <x v="6"/>
    </i>
  </colItems>
  <pageFields count="1">
    <pageField fld="0" hier="-1"/>
  </pageFields>
  <dataFields count="7">
    <dataField name="Revenue Growth " fld="8" subtotal="average" baseField="0" baseItem="1"/>
    <dataField name="EPS Growth % " fld="15" subtotal="average" baseField="0" baseItem="1"/>
    <dataField name=" GP GROWTH" fld="23" subtotal="average" baseField="0" baseItem="2"/>
    <dataField name=" EBITDA GROWTH" fld="24" subtotal="average" baseField="0" baseItem="3"/>
    <dataField name=" EBIT GROWTH" fld="25" subtotal="average" baseField="0" baseItem="4"/>
    <dataField name=" EBT GROWTH" fld="26" subtotal="average" baseField="0" baseItem="5"/>
    <dataField name=" PAT GROWTH" fld="27" subtotal="average" baseField="0" baseItem="6"/>
  </dataFields>
  <formats count="1">
    <format dxfId="4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B7FFD3-7697-42DE-8975-C2A008FC393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3:P74" firstHeaderRow="0" firstDataRow="1" firstDataCol="0" rowPageCount="1" colPageCount="1"/>
  <pivotFields count="30">
    <pivotField axis="axisPage" numFmtId="164" multipleItemSelectionAllowed="1" showAll="0">
      <items count="10">
        <item h="1" x="0"/>
        <item h="1" x="1"/>
        <item x="2"/>
        <item h="1" x="3"/>
        <item h="1" x="4"/>
        <item h="1" x="5"/>
        <item h="1" x="6"/>
        <item h="1" x="7"/>
        <item h="1" x="8"/>
        <item t="default"/>
      </items>
    </pivotField>
    <pivotField numFmtId="43" showAll="0"/>
    <pivotField numFmtId="43" showAll="0"/>
    <pivotField numFmtId="43" showAll="0"/>
    <pivotField numFmtId="43" showAll="0"/>
    <pivotField numFmtId="43" showAll="0"/>
    <pivotField numFmtId="43" showAll="0"/>
    <pivotField dataField="1" numFmtId="43" showAll="0"/>
    <pivotField dataField="1" showAll="0"/>
    <pivotField dataField="1" numFmtId="165" showAll="0"/>
    <pivotField dataField="1" numFmtId="10" showAll="0"/>
    <pivotField dataField="1" numFmtId="10" showAll="0"/>
    <pivotField dataField="1" numFmtId="10" showAll="0"/>
    <pivotField dataField="1" numFmtId="10" showAll="0"/>
    <pivotField dataField="1" numFmtId="10" showAll="0"/>
    <pivotField dataField="1" showAll="0"/>
    <pivotField numFmtId="43" showAll="0"/>
    <pivotField numFmtId="43" showAll="0"/>
    <pivotField numFmtId="43" showAll="0"/>
    <pivotField numFmtId="43" showAll="0"/>
    <pivotField numFmtId="43" showAll="0"/>
    <pivotField dataField="1" numFmtId="165" showAll="0"/>
    <pivotField dataField="1" numFmtId="166" showAll="0"/>
    <pivotField dataField="1" showAll="0"/>
    <pivotField dataField="1" showAll="0"/>
    <pivotField dataField="1" showAll="0"/>
    <pivotField dataField="1" showAll="0"/>
    <pivotField dataField="1" showAll="0"/>
    <pivotField numFmtId="10" showAll="0"/>
    <pivotField numFmtId="10" showAll="0"/>
  </pivotFields>
  <rowItems count="1">
    <i/>
  </rowItems>
  <colFields count="1">
    <field x="-2"/>
  </colFields>
  <colItems count="16">
    <i>
      <x/>
    </i>
    <i i="1">
      <x v="1"/>
    </i>
    <i i="2">
      <x v="2"/>
    </i>
    <i i="3">
      <x v="3"/>
    </i>
    <i i="4">
      <x v="4"/>
    </i>
    <i i="5">
      <x v="5"/>
    </i>
    <i i="6">
      <x v="6"/>
    </i>
    <i i="7">
      <x v="7"/>
    </i>
    <i i="8">
      <x v="8"/>
    </i>
    <i i="9">
      <x v="9"/>
    </i>
    <i i="10">
      <x v="10"/>
    </i>
    <i i="11">
      <x v="11"/>
    </i>
    <i i="12">
      <x v="12"/>
    </i>
    <i i="13">
      <x v="13"/>
    </i>
    <i i="14">
      <x v="14"/>
    </i>
    <i i="15">
      <x v="15"/>
    </i>
  </colItems>
  <pageFields count="1">
    <pageField fld="0" hier="-1"/>
  </pageFields>
  <dataFields count="16">
    <dataField name="Revenue Growth " fld="8" subtotal="average" baseField="0" baseItem="1" numFmtId="174"/>
    <dataField name="EPS Growth % " fld="15" subtotal="average" baseField="0" baseItem="1" numFmtId="174"/>
    <dataField name="Interest Cover " fld="9" subtotal="average" baseField="0" baseItem="2" numFmtId="165"/>
    <dataField name="Gross Profit Margin % " fld="10" subtotal="average" baseField="0" baseItem="3" numFmtId="10"/>
    <dataField name="EBITDA Margin % " fld="11" subtotal="average" baseField="0" baseItem="4" numFmtId="10"/>
    <dataField name="EBIT Margin % " fld="12" subtotal="average" baseField="0" baseItem="5" numFmtId="10"/>
    <dataField name="EBT Margin % " fld="13" baseField="0" baseItem="6" numFmtId="10"/>
    <dataField name="PAT Margin % " fld="14" subtotal="average" baseField="0" baseItem="7" numFmtId="10"/>
    <dataField name="GP GROWTH " fld="23" subtotal="average" baseField="0" baseItem="8" numFmtId="174"/>
    <dataField name=" EBITDA GROWTH" fld="24" subtotal="average" baseField="0" baseItem="9" numFmtId="174"/>
    <dataField name="Working Capital Cycle " fld="22" subtotal="average" baseField="0" baseItem="10" numFmtId="173"/>
    <dataField name=" EBIT GROWTH" fld="25" subtotal="average" baseField="0" baseItem="11" numFmtId="174"/>
    <dataField name=" EBT GROWTH" fld="26" subtotal="average" baseField="0" baseItem="12" numFmtId="174"/>
    <dataField name=" PAT GROWTH" fld="27" subtotal="average" baseField="0" baseItem="13" numFmtId="174"/>
    <dataField name=" Gearing Ratio (D/E)" fld="21" subtotal="average" baseField="0" baseItem="14" numFmtId="165"/>
    <dataField name=" EPS (Basic) (₹/share)" fld="7" subtotal="average" baseField="0" baseItem="15" numFmtId="176"/>
  </dataFields>
  <formats count="8">
    <format dxfId="414">
      <pivotArea outline="0" collapsedLevelsAreSubtotals="1" fieldPosition="0">
        <references count="1">
          <reference field="4294967294" count="2" selected="0">
            <x v="0"/>
            <x v="1"/>
          </reference>
        </references>
      </pivotArea>
    </format>
    <format dxfId="413">
      <pivotArea outline="0" collapsedLevelsAreSubtotals="1" fieldPosition="0">
        <references count="1">
          <reference field="4294967294" count="1" selected="0">
            <x v="0"/>
          </reference>
        </references>
      </pivotArea>
    </format>
    <format dxfId="412">
      <pivotArea outline="0" collapsedLevelsAreSubtotals="1" fieldPosition="0">
        <references count="1">
          <reference field="4294967294" count="2" selected="0">
            <x v="0"/>
            <x v="1"/>
          </reference>
        </references>
      </pivotArea>
    </format>
    <format dxfId="411">
      <pivotArea outline="0" collapsedLevelsAreSubtotals="1" fieldPosition="0">
        <references count="1">
          <reference field="4294967294" count="1" selected="0">
            <x v="10"/>
          </reference>
        </references>
      </pivotArea>
    </format>
    <format dxfId="410">
      <pivotArea outline="0" collapsedLevelsAreSubtotals="1" fieldPosition="0">
        <references count="1">
          <reference field="4294967294" count="2" selected="0">
            <x v="0"/>
            <x v="1"/>
          </reference>
        </references>
      </pivotArea>
    </format>
    <format dxfId="409">
      <pivotArea outline="0" collapsedLevelsAreSubtotals="1" fieldPosition="0">
        <references count="1">
          <reference field="4294967294" count="2" selected="0">
            <x v="8"/>
            <x v="9"/>
          </reference>
        </references>
      </pivotArea>
    </format>
    <format dxfId="408">
      <pivotArea outline="0" collapsedLevelsAreSubtotals="1" fieldPosition="0">
        <references count="1">
          <reference field="4294967294" count="3" selected="0">
            <x v="11"/>
            <x v="12"/>
            <x v="13"/>
          </reference>
        </references>
      </pivotArea>
    </format>
    <format dxfId="407">
      <pivotArea outline="0" collapsedLevelsAreSubtotals="1" fieldPosition="0">
        <references count="1">
          <reference field="4294967294" count="1" selected="0">
            <x v="15"/>
          </reference>
        </references>
      </pivotArea>
    </format>
  </formats>
  <conditionalFormats count="2">
    <conditionalFormat priority="3">
      <pivotAreas count="1">
        <pivotArea type="data" outline="0" collapsedLevelsAreSubtotals="1" fieldPosition="0">
          <references count="1">
            <reference field="4294967294" count="2" selected="0">
              <x v="0"/>
              <x v="1"/>
            </reference>
          </references>
        </pivotArea>
      </pivotAreas>
    </conditionalFormat>
    <conditionalFormat priority="4">
      <pivotAreas count="1">
        <pivotArea type="data" outline="0" collapsedLevelsAreSubtotals="1" fieldPosition="0">
          <references count="1">
            <reference field="4294967294" count="2" selected="0">
              <x v="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E2E112-09A3-4124-8EF0-5DD08D7A260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F66" firstHeaderRow="0" firstDataRow="1" firstDataCol="0" rowPageCount="1" colPageCount="1"/>
  <pivotFields count="30">
    <pivotField axis="axisPage" numFmtId="164" multipleItemSelectionAllowed="1" showAll="0">
      <items count="10">
        <item h="1" x="0"/>
        <item h="1" x="1"/>
        <item x="2"/>
        <item h="1" x="3"/>
        <item h="1" x="4"/>
        <item h="1" x="5"/>
        <item h="1" x="6"/>
        <item h="1" x="7"/>
        <item h="1" x="8"/>
        <item t="default"/>
      </items>
    </pivotField>
    <pivotField dataField="1" numFmtId="2" showAll="0"/>
    <pivotField dataField="1" numFmtId="2" showAll="0"/>
    <pivotField dataField="1" numFmtId="2" showAll="0"/>
    <pivotField dataField="1" numFmtId="2" showAll="0"/>
    <pivotField dataField="1" numFmtId="2" showAll="0"/>
    <pivotField dataField="1" numFmtId="2" showAll="0"/>
    <pivotField numFmtId="2" showAll="0"/>
    <pivotField showAll="0"/>
    <pivotField numFmtId="165" showAll="0"/>
    <pivotField numFmtId="10" showAll="0"/>
    <pivotField numFmtId="10" showAll="0"/>
    <pivotField numFmtId="10" showAll="0"/>
    <pivotField numFmtId="10" showAll="0"/>
    <pivotField numFmtId="10" showAll="0"/>
    <pivotField showAll="0"/>
    <pivotField numFmtId="43" showAll="0"/>
    <pivotField numFmtId="43" showAll="0"/>
    <pivotField numFmtId="43" showAll="0"/>
    <pivotField numFmtId="2" showAll="0"/>
    <pivotField numFmtId="2" showAll="0"/>
    <pivotField numFmtId="165" showAll="0"/>
    <pivotField numFmtId="166" showAll="0"/>
    <pivotField showAll="0"/>
    <pivotField showAll="0"/>
    <pivotField showAll="0"/>
    <pivotField showAll="0"/>
    <pivotField showAll="0"/>
    <pivotField numFmtId="10" showAll="0"/>
    <pivotField numFmtId="10" showAll="0"/>
  </pivotFields>
  <rowItems count="1">
    <i/>
  </rowItems>
  <colFields count="1">
    <field x="-2"/>
  </colFields>
  <colItems count="6">
    <i>
      <x/>
    </i>
    <i i="1">
      <x v="1"/>
    </i>
    <i i="2">
      <x v="2"/>
    </i>
    <i i="3">
      <x v="3"/>
    </i>
    <i i="4">
      <x v="4"/>
    </i>
    <i i="5">
      <x v="5"/>
    </i>
  </colItems>
  <pageFields count="1">
    <pageField fld="0" hier="-1"/>
  </pageFields>
  <dataFields count="6">
    <dataField name="PAT " fld="6" subtotal="average" baseField="0" baseItem="1" numFmtId="2"/>
    <dataField name="EBT " fld="5" subtotal="average" baseField="0" baseItem="1" numFmtId="2"/>
    <dataField name="EBIT " fld="4" subtotal="average" baseField="0" baseItem="2" numFmtId="2"/>
    <dataField name="EBITDA " fld="3" subtotal="average" baseField="0" baseItem="3" numFmtId="2"/>
    <dataField name="Gross profit " fld="2" subtotal="average" baseField="0" baseItem="4" numFmtId="2"/>
    <dataField name="Revenue " fld="1" baseField="0" baseItem="5"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4C4CD1-7A84-4F7D-8822-E28C975B38B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3:I4" firstHeaderRow="0" firstDataRow="1" firstDataCol="0" rowPageCount="1" colPageCount="1"/>
  <pivotFields count="4">
    <pivotField axis="axisPage" showAll="0">
      <items count="10">
        <item x="0"/>
        <item x="1"/>
        <item x="2"/>
        <item x="3"/>
        <item x="4"/>
        <item x="5"/>
        <item x="6"/>
        <item x="7"/>
        <item x="8"/>
        <item t="default"/>
      </items>
    </pivotField>
    <pivotField dataField="1" numFmtId="43" showAll="0"/>
    <pivotField dataField="1" numFmtId="43" showAll="0"/>
    <pivotField dataField="1" numFmtId="43" showAll="0"/>
  </pivotFields>
  <rowItems count="1">
    <i/>
  </rowItems>
  <colFields count="1">
    <field x="-2"/>
  </colFields>
  <colItems count="3">
    <i>
      <x/>
    </i>
    <i i="1">
      <x v="1"/>
    </i>
    <i i="2">
      <x v="2"/>
    </i>
  </colItems>
  <pageFields count="1">
    <pageField fld="0" item="4" hier="-1"/>
  </pageFields>
  <dataFields count="3">
    <dataField name="CFO " fld="1" baseField="0" baseItem="1" numFmtId="43"/>
    <dataField name="CFI " fld="2" baseField="0" baseItem="1" numFmtId="43"/>
    <dataField name="CFF " fld="3" baseField="0" baseItem="2"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214A3DE-AF4B-408B-9B82-EE581CBC50CC}" sourceName="Year">
  <pivotTables>
    <pivotTable tabId="2" name="PivotTable4"/>
    <pivotTable tabId="2" name="PivotTable1"/>
    <pivotTable tabId="2" name="PivotTable3"/>
    <pivotTable tabId="2" name="PivotTable6"/>
  </pivotTables>
  <data>
    <tabular pivotCacheId="864320348">
      <items count="9">
        <i x="0"/>
        <i x="1"/>
        <i x="2" s="1"/>
        <i x="3"/>
        <i x="4"/>
        <i x="5"/>
        <i x="6"/>
        <i x="7"/>
        <i x="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ncial Year" xr10:uid="{49C4EDF8-6032-4AB1-A62F-06B0AC844637}" cache="Slicer_Year" caption="Financial Year" columnCount="9" style="SlicerStyleDark2" rowHeight="54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839C269-FBB9-40A8-9D7D-C042B2DDC8FA}" name="Table7" displayName="Table7" ref="J30:AM39" totalsRowShown="0" headerRowDxfId="405">
  <autoFilter ref="J30:AM39" xr:uid="{9839C269-FBB9-40A8-9D7D-C042B2DDC8FA}"/>
  <tableColumns count="30">
    <tableColumn id="1" xr3:uid="{F7E3B319-D6C2-4114-8D53-1903BF19BD98}" name="Year" dataDxfId="404">
      <calculatedColumnFormula>SOPL!$A31</calculatedColumnFormula>
    </tableColumn>
    <tableColumn id="2" xr3:uid="{D14AFDC1-B028-4B46-ADEB-74F2F0313EC5}" name="Revenue" dataDxfId="403" dataCellStyle="Comma">
      <calculatedColumnFormula>B31</calculatedColumnFormula>
    </tableColumn>
    <tableColumn id="3" xr3:uid="{483C1C46-E3B3-45BD-BD27-10A7F8E72C86}" name="Gross profit" dataDxfId="402" dataCellStyle="Comma">
      <calculatedColumnFormula>C31</calculatedColumnFormula>
    </tableColumn>
    <tableColumn id="4" xr3:uid="{9B774F5B-C4D8-4F0A-87CA-D76A57BA775E}" name="EBITDA" dataDxfId="401" dataCellStyle="Comma">
      <calculatedColumnFormula>D31</calculatedColumnFormula>
    </tableColumn>
    <tableColumn id="5" xr3:uid="{1264D75A-2C22-4FFA-9229-D7F53D8BB85F}" name="EBIT" dataDxfId="400" dataCellStyle="Comma">
      <calculatedColumnFormula>E31</calculatedColumnFormula>
    </tableColumn>
    <tableColumn id="6" xr3:uid="{FA52DCBD-CF01-4CE6-BFA1-C8A1A103718C}" name="EBT" dataDxfId="399" dataCellStyle="Comma">
      <calculatedColumnFormula>F31</calculatedColumnFormula>
    </tableColumn>
    <tableColumn id="7" xr3:uid="{40B7014A-02B5-4AC7-8B2C-8D9A487213ED}" name="PAT" dataDxfId="398" dataCellStyle="Comma">
      <calculatedColumnFormula>G31</calculatedColumnFormula>
    </tableColumn>
    <tableColumn id="8" xr3:uid="{AA63984C-C346-471F-B558-62BE0E179CFE}" name="EPS (Basic) (₹/share)" dataDxfId="397" dataCellStyle="Comma">
      <calculatedColumnFormula>H31</calculatedColumnFormula>
    </tableColumn>
    <tableColumn id="9" xr3:uid="{4D927FE4-57B3-4578-9289-581E2AA8F9A4}" name="Revenue Growth" dataDxfId="396" dataCellStyle="Percent">
      <calculatedColumnFormula>K31/K30-1</calculatedColumnFormula>
    </tableColumn>
    <tableColumn id="10" xr3:uid="{F878E3EE-6002-48A8-8780-44E39E4C87C1}" name="Interest Cover" dataDxfId="395">
      <calculatedColumnFormula>C44</calculatedColumnFormula>
    </tableColumn>
    <tableColumn id="11" xr3:uid="{802FB7DE-7952-4068-BE32-5BF4C3653A81}" name="Gross Profit Margin %" dataDxfId="394" dataCellStyle="Percent">
      <calculatedColumnFormula>L31/$K31</calculatedColumnFormula>
    </tableColumn>
    <tableColumn id="12" xr3:uid="{5B39ABE6-83DA-44D6-B5D8-EF2CC63DD7FA}" name="EBITDA Margin %" dataDxfId="393" dataCellStyle="Percent">
      <calculatedColumnFormula>M31/$K31</calculatedColumnFormula>
    </tableColumn>
    <tableColumn id="13" xr3:uid="{00A20E09-BD69-4567-B2E4-A3C7B74F7ABC}" name="EBIT Margin %" dataDxfId="392" dataCellStyle="Percent">
      <calculatedColumnFormula>N31/$K31</calculatedColumnFormula>
    </tableColumn>
    <tableColumn id="14" xr3:uid="{53DB4979-FA7F-446F-A204-5B42B9641C26}" name="EBT Margin %" dataDxfId="391" dataCellStyle="Percent">
      <calculatedColumnFormula>O31/$K31</calculatedColumnFormula>
    </tableColumn>
    <tableColumn id="15" xr3:uid="{BD253F98-38AB-4E23-B666-663B1C1D46A1}" name="PAT Margin %" dataDxfId="390" dataCellStyle="Percent">
      <calculatedColumnFormula>P31/$K31</calculatedColumnFormula>
    </tableColumn>
    <tableColumn id="16" xr3:uid="{2267005C-08ED-4EA4-8526-52DB76C0978C}" name="EPS Growth %" dataDxfId="389" dataCellStyle="Percent">
      <calculatedColumnFormula>Q31/Q30-1</calculatedColumnFormula>
    </tableColumn>
    <tableColumn id="17" xr3:uid="{07983744-C361-436A-B838-7E89F1984197}" name="CFO" dataDxfId="388" dataCellStyle="Comma"/>
    <tableColumn id="18" xr3:uid="{7989281E-E876-4ACD-8AA3-FE040AC75EBB}" name="CFI" dataDxfId="387" dataCellStyle="Comma"/>
    <tableColumn id="19" xr3:uid="{93CEFF60-D161-4B48-A3B3-B4653D4B21C2}" name="CFF" dataDxfId="386" dataCellStyle="Comma"/>
    <tableColumn id="20" xr3:uid="{DBC24D8E-D6A9-4E47-BF67-C0C4A0A9933C}" name="Current Ratio" dataDxfId="385" dataCellStyle="Comma"/>
    <tableColumn id="21" xr3:uid="{F01B87C6-73B5-43CC-B3AA-9496A5D25F08}" name="Quick Ratio" dataDxfId="384" dataCellStyle="Comma"/>
    <tableColumn id="22" xr3:uid="{67B71A4E-CF7E-44AA-AF45-B111ECB58939}" name="Gearing Ratio (D/E)" dataDxfId="383" dataCellStyle="Percent"/>
    <tableColumn id="23" xr3:uid="{A7FD15DF-5283-4547-8FE9-BF4DEC22BA9C}" name="Working Capital Cycle" dataDxfId="382" dataCellStyle="Comma"/>
    <tableColumn id="24" xr3:uid="{726467DC-EA7B-4FC4-B1C0-1F3F659DDDCA}" name="GP GROWTH" dataDxfId="381"/>
    <tableColumn id="25" xr3:uid="{241BB6AB-D307-4564-9951-92CE921BBE72}" name="EBITDA GROWTH" dataDxfId="380"/>
    <tableColumn id="26" xr3:uid="{08732390-D7D6-41DF-885E-585C35C5F9E4}" name="EBIT GROWTH" dataDxfId="379"/>
    <tableColumn id="27" xr3:uid="{2F46EE4B-BA1D-41C2-B918-AB9AAA2865CE}" name="EBT GROWTH" dataDxfId="378"/>
    <tableColumn id="28" xr3:uid="{2B0415AB-E27F-4D08-A9E3-BA6CB479A2AF}" name="PAT GROWTH" dataDxfId="377"/>
    <tableColumn id="29" xr3:uid="{B6E7DAD6-6E04-4B4E-9EB3-0236B4F2B1FC}" name="ROCE %" dataDxfId="376" dataCellStyle="Percent">
      <calculatedColumnFormula>SOPL!N31/(SOFP!G41-SOFP!O41)</calculatedColumnFormula>
    </tableColumn>
    <tableColumn id="30" xr3:uid="{2937F797-2288-41A4-9F03-B64B988099E8}" name="ROE %" dataDxfId="375" dataCellStyle="Percent">
      <calculatedColumnFormula>SOPL!O31/SOFP!I41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9FE53F-6C16-4CE7-B3CB-9355B2752AF5}" name="Table2" displayName="Table2" ref="A2:D11" totalsRowShown="0" headerRowDxfId="374" dataDxfId="373" dataCellStyle="Comma">
  <autoFilter ref="A2:D11" xr:uid="{599FE53F-6C16-4CE7-B3CB-9355B2752AF5}"/>
  <tableColumns count="4">
    <tableColumn id="1" xr3:uid="{BD5AA3C4-A9F8-4994-A104-E5A69A0C7223}" name="Year" dataDxfId="372"/>
    <tableColumn id="2" xr3:uid="{51BF825F-D0AD-4D48-B457-7189E9937B8D}" name="CFO" dataDxfId="371" dataCellStyle="Comma"/>
    <tableColumn id="3" xr3:uid="{6D052195-827D-4E05-9F06-12D2FB0E7B6F}" name="CFI" dataDxfId="370" dataCellStyle="Comma"/>
    <tableColumn id="4" xr3:uid="{07105C83-72A6-4D85-B7AF-729774B007B2}" name="CFF" dataDxfId="369" dataCellStyle="Comm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37088-BB53-4C46-B45A-DA4A18EFC2DD}">
  <sheetPr codeName="Sheet1"/>
  <dimension ref="A2:P49"/>
  <sheetViews>
    <sheetView topLeftCell="B15" workbookViewId="0">
      <selection activeCell="C40" sqref="C40"/>
    </sheetView>
  </sheetViews>
  <sheetFormatPr defaultRowHeight="14.4" x14ac:dyDescent="0.3"/>
  <cols>
    <col min="1" max="1" width="27.5546875" customWidth="1"/>
    <col min="2" max="2" width="3" customWidth="1"/>
    <col min="3" max="3" width="21.77734375" bestFit="1" customWidth="1"/>
    <col min="4" max="5" width="12" customWidth="1"/>
    <col min="6" max="6" width="17.88671875" bestFit="1" customWidth="1"/>
    <col min="7" max="7" width="12" customWidth="1"/>
    <col min="8" max="8" width="3" customWidth="1"/>
    <col min="9" max="9" width="11.33203125" bestFit="1" customWidth="1"/>
    <col min="10" max="11" width="3" customWidth="1"/>
    <col min="12" max="12" width="10.21875" bestFit="1" customWidth="1"/>
    <col min="13" max="13" width="13.33203125" customWidth="1"/>
    <col min="14" max="14" width="17.77734375" customWidth="1"/>
    <col min="15" max="15" width="16.33203125" customWidth="1"/>
    <col min="16" max="16" width="16.77734375" customWidth="1"/>
    <col min="17" max="17" width="20.44140625" customWidth="1"/>
  </cols>
  <sheetData>
    <row r="2" spans="1:10" x14ac:dyDescent="0.3">
      <c r="A2" s="1" t="s">
        <v>1</v>
      </c>
      <c r="B2" s="2">
        <v>17</v>
      </c>
      <c r="C2" s="2">
        <f t="shared" ref="C2:J2" si="0">B2+1</f>
        <v>18</v>
      </c>
      <c r="D2" s="2">
        <f t="shared" si="0"/>
        <v>19</v>
      </c>
      <c r="E2" s="2">
        <f t="shared" si="0"/>
        <v>20</v>
      </c>
      <c r="F2" s="2">
        <f t="shared" si="0"/>
        <v>21</v>
      </c>
      <c r="G2" s="2">
        <f t="shared" si="0"/>
        <v>22</v>
      </c>
      <c r="H2" s="2">
        <f t="shared" si="0"/>
        <v>23</v>
      </c>
      <c r="I2" s="2">
        <f t="shared" si="0"/>
        <v>24</v>
      </c>
      <c r="J2" s="2">
        <f t="shared" si="0"/>
        <v>25</v>
      </c>
    </row>
    <row r="4" spans="1:10" x14ac:dyDescent="0.3">
      <c r="A4" t="s">
        <v>11</v>
      </c>
      <c r="B4" s="3">
        <v>12947.3</v>
      </c>
      <c r="C4" s="3">
        <v>14647.53</v>
      </c>
      <c r="D4" s="3">
        <v>14981.76</v>
      </c>
      <c r="E4" s="3">
        <v>19933.66</v>
      </c>
      <c r="F4" s="3">
        <v>24308.45</v>
      </c>
      <c r="G4" s="3">
        <v>24502.75</v>
      </c>
      <c r="H4" s="3">
        <v>25034.49</v>
      </c>
      <c r="I4" s="3">
        <v>30692.9</v>
      </c>
      <c r="J4" s="3">
        <v>39196.85</v>
      </c>
    </row>
    <row r="5" spans="1:10" x14ac:dyDescent="0.3">
      <c r="A5" t="s">
        <v>2</v>
      </c>
      <c r="B5" s="3">
        <v>34057.07</v>
      </c>
      <c r="C5" s="3">
        <v>39729.550000000003</v>
      </c>
      <c r="D5" s="3">
        <v>35585.370000000003</v>
      </c>
      <c r="E5" s="3">
        <v>36357.360000000001</v>
      </c>
      <c r="F5" s="3">
        <v>43881.32</v>
      </c>
      <c r="G5" s="3">
        <v>47456.5</v>
      </c>
      <c r="H5" s="3">
        <v>57138.65</v>
      </c>
      <c r="I5" s="3">
        <v>67404.210000000006</v>
      </c>
      <c r="J5" s="3">
        <v>75677.94</v>
      </c>
    </row>
    <row r="6" spans="1:10" x14ac:dyDescent="0.3">
      <c r="A6" t="s">
        <v>3</v>
      </c>
      <c r="B6" s="3">
        <f>B7-B5</f>
        <v>8143.760000000002</v>
      </c>
      <c r="C6" s="3">
        <f>C7-C5</f>
        <v>12067.649999999994</v>
      </c>
      <c r="D6" s="3">
        <f t="shared" ref="D6:J6" si="1">D7-D5</f>
        <v>9874.0400000000009</v>
      </c>
      <c r="E6" s="3">
        <f t="shared" si="1"/>
        <v>10782.720000000001</v>
      </c>
      <c r="F6" s="3">
        <f t="shared" si="1"/>
        <v>10934.580000000002</v>
      </c>
      <c r="G6" s="3">
        <f t="shared" si="1"/>
        <v>5600</v>
      </c>
      <c r="H6" s="3">
        <f t="shared" si="1"/>
        <v>8464.489999999998</v>
      </c>
      <c r="I6" s="3">
        <f t="shared" si="1"/>
        <v>9846.6499999999942</v>
      </c>
      <c r="J6" s="3">
        <f t="shared" si="1"/>
        <v>12217.520000000004</v>
      </c>
    </row>
    <row r="7" spans="1:10" x14ac:dyDescent="0.3">
      <c r="A7" t="s">
        <v>10</v>
      </c>
      <c r="B7" s="3">
        <v>42200.83</v>
      </c>
      <c r="C7" s="3">
        <v>51797.2</v>
      </c>
      <c r="D7" s="3">
        <v>45459.41</v>
      </c>
      <c r="E7" s="3">
        <v>47140.08</v>
      </c>
      <c r="F7" s="3">
        <v>54815.9</v>
      </c>
      <c r="G7" s="3">
        <v>53056.5</v>
      </c>
      <c r="H7" s="3">
        <v>65603.14</v>
      </c>
      <c r="I7" s="3">
        <v>77250.86</v>
      </c>
      <c r="J7" s="3">
        <v>87895.46</v>
      </c>
    </row>
    <row r="8" spans="1:10" x14ac:dyDescent="0.3">
      <c r="A8" t="s">
        <v>4</v>
      </c>
      <c r="B8" s="3">
        <f>B4+B7</f>
        <v>55148.130000000005</v>
      </c>
      <c r="C8" s="3">
        <f t="shared" ref="C8:J8" si="2">C4+C7</f>
        <v>66444.73</v>
      </c>
      <c r="D8" s="3">
        <f t="shared" si="2"/>
        <v>60441.170000000006</v>
      </c>
      <c r="E8" s="3">
        <f t="shared" si="2"/>
        <v>67073.740000000005</v>
      </c>
      <c r="F8" s="3">
        <f t="shared" si="2"/>
        <v>79124.350000000006</v>
      </c>
      <c r="G8" s="3">
        <f t="shared" si="2"/>
        <v>77559.25</v>
      </c>
      <c r="H8" s="3">
        <f>H4+H7+1339.1</f>
        <v>91976.73000000001</v>
      </c>
      <c r="I8" s="3">
        <f>I4+I7+1339.1</f>
        <v>109282.86000000002</v>
      </c>
      <c r="J8" s="3">
        <f t="shared" si="2"/>
        <v>127092.31</v>
      </c>
    </row>
    <row r="9" spans="1:10" x14ac:dyDescent="0.3">
      <c r="B9" s="3"/>
      <c r="C9" s="3"/>
      <c r="D9" s="3"/>
      <c r="E9" s="3"/>
      <c r="F9" s="3"/>
      <c r="G9" s="3"/>
      <c r="H9" s="3"/>
      <c r="I9" s="3"/>
      <c r="J9" s="3"/>
    </row>
    <row r="10" spans="1:10" x14ac:dyDescent="0.3">
      <c r="A10" t="s">
        <v>5</v>
      </c>
      <c r="B10" s="3">
        <v>14808.8</v>
      </c>
      <c r="C10" s="3">
        <v>20802.98</v>
      </c>
      <c r="D10" s="3">
        <v>21254.34</v>
      </c>
      <c r="E10" s="3">
        <v>21573.7</v>
      </c>
      <c r="F10" s="3">
        <v>30254.48</v>
      </c>
      <c r="G10" s="3">
        <v>32635.57</v>
      </c>
      <c r="H10" s="3">
        <v>36666.22</v>
      </c>
      <c r="I10" s="3">
        <v>41669.5</v>
      </c>
      <c r="J10" s="3">
        <v>47772.58</v>
      </c>
    </row>
    <row r="11" spans="1:10" x14ac:dyDescent="0.3">
      <c r="A11" t="s">
        <v>8</v>
      </c>
      <c r="B11" s="3"/>
      <c r="C11" s="3"/>
      <c r="D11" s="3"/>
      <c r="E11" s="3"/>
      <c r="F11" s="3"/>
      <c r="G11" s="3"/>
      <c r="H11" s="3"/>
      <c r="I11" s="3"/>
      <c r="J11" s="3"/>
    </row>
    <row r="12" spans="1:10" x14ac:dyDescent="0.3">
      <c r="A12" t="s">
        <v>6</v>
      </c>
      <c r="B12" s="3"/>
      <c r="C12" s="3"/>
      <c r="D12" s="3"/>
      <c r="E12" s="3"/>
      <c r="F12" s="3"/>
      <c r="G12" s="3"/>
      <c r="H12" s="3"/>
      <c r="I12" s="3"/>
      <c r="J12" s="3"/>
    </row>
    <row r="13" spans="1:10" x14ac:dyDescent="0.3">
      <c r="A13" t="s">
        <v>7</v>
      </c>
      <c r="B13" s="3">
        <v>2618.9499999999998</v>
      </c>
      <c r="C13" s="3">
        <v>1647.85</v>
      </c>
      <c r="D13" s="3">
        <v>799.28</v>
      </c>
      <c r="E13" s="3">
        <v>375.07</v>
      </c>
      <c r="F13" s="3">
        <v>161.54</v>
      </c>
      <c r="G13" s="3">
        <v>0</v>
      </c>
      <c r="H13" s="3">
        <v>0</v>
      </c>
      <c r="I13" s="3">
        <v>0</v>
      </c>
      <c r="J13" s="3">
        <v>0</v>
      </c>
    </row>
    <row r="14" spans="1:10" x14ac:dyDescent="0.3">
      <c r="A14" t="s">
        <v>32</v>
      </c>
      <c r="B14" s="3">
        <v>0</v>
      </c>
      <c r="C14" s="3">
        <v>0</v>
      </c>
      <c r="D14" s="3">
        <v>0</v>
      </c>
      <c r="E14" s="3">
        <v>6484.63</v>
      </c>
      <c r="F14" s="3">
        <v>6044.09</v>
      </c>
      <c r="G14" s="3">
        <v>5481.54</v>
      </c>
      <c r="H14" s="3">
        <v>6315.94</v>
      </c>
      <c r="I14" s="3">
        <v>9370.4500000000007</v>
      </c>
      <c r="J14" s="3">
        <v>12235.48</v>
      </c>
    </row>
    <row r="15" spans="1:10" x14ac:dyDescent="0.3">
      <c r="A15" t="s">
        <v>9</v>
      </c>
      <c r="B15" s="3">
        <v>2699.61</v>
      </c>
      <c r="C15" s="3">
        <v>1875.46</v>
      </c>
      <c r="D15" s="3">
        <v>1115.6600000000001</v>
      </c>
      <c r="E15" s="3">
        <v>7098.28</v>
      </c>
      <c r="F15" s="3">
        <v>6481.93</v>
      </c>
      <c r="G15" s="3">
        <v>5751.76</v>
      </c>
      <c r="H15" s="3">
        <v>6601.59</v>
      </c>
      <c r="I15" s="3">
        <v>9709.39</v>
      </c>
      <c r="J15" s="3">
        <v>12918.32</v>
      </c>
    </row>
    <row r="16" spans="1:10" x14ac:dyDescent="0.3">
      <c r="A16" t="s">
        <v>12</v>
      </c>
      <c r="B16" s="3">
        <v>37639.72</v>
      </c>
      <c r="C16" s="3">
        <v>43766.29</v>
      </c>
      <c r="D16" s="3">
        <v>38071.17</v>
      </c>
      <c r="E16" s="3">
        <v>38401.760000000002</v>
      </c>
      <c r="F16" s="3">
        <v>42387.94</v>
      </c>
      <c r="G16" s="3">
        <v>39171.919999999998</v>
      </c>
      <c r="H16" s="3">
        <v>48708.92</v>
      </c>
      <c r="I16" s="3">
        <v>57903.97</v>
      </c>
      <c r="J16" s="3">
        <v>66401.41</v>
      </c>
    </row>
    <row r="17" spans="1:10" x14ac:dyDescent="0.3">
      <c r="A17" t="s">
        <v>13</v>
      </c>
      <c r="B17" s="3">
        <f t="shared" ref="B17:J17" si="3">B10+B15+B16</f>
        <v>55148.130000000005</v>
      </c>
      <c r="C17" s="3">
        <f t="shared" si="3"/>
        <v>66444.73</v>
      </c>
      <c r="D17" s="3">
        <f t="shared" si="3"/>
        <v>60441.17</v>
      </c>
      <c r="E17" s="3">
        <f t="shared" si="3"/>
        <v>67073.740000000005</v>
      </c>
      <c r="F17" s="3">
        <f t="shared" si="3"/>
        <v>79124.350000000006</v>
      </c>
      <c r="G17" s="3">
        <f t="shared" si="3"/>
        <v>77559.25</v>
      </c>
      <c r="H17" s="3">
        <f t="shared" si="3"/>
        <v>91976.73</v>
      </c>
      <c r="I17" s="3">
        <f t="shared" si="3"/>
        <v>109282.86</v>
      </c>
      <c r="J17" s="3">
        <f t="shared" si="3"/>
        <v>127092.31</v>
      </c>
    </row>
    <row r="21" spans="1:10" hidden="1" x14ac:dyDescent="0.3">
      <c r="A21" t="s">
        <v>33</v>
      </c>
      <c r="B21" s="4">
        <f>B7/B16</f>
        <v>1.1211781065321422</v>
      </c>
      <c r="C21" s="4">
        <f t="shared" ref="C21:J21" si="4">C7/C16</f>
        <v>1.1834953339659358</v>
      </c>
      <c r="D21" s="4">
        <f t="shared" si="4"/>
        <v>1.1940639071507391</v>
      </c>
      <c r="E21" s="4">
        <f t="shared" si="4"/>
        <v>1.2275499872922491</v>
      </c>
      <c r="F21" s="4">
        <f t="shared" si="4"/>
        <v>1.2931956589539382</v>
      </c>
      <c r="G21" s="4">
        <f t="shared" si="4"/>
        <v>1.3544523730263924</v>
      </c>
      <c r="H21" s="4">
        <f t="shared" si="4"/>
        <v>1.3468403733854086</v>
      </c>
      <c r="I21" s="4">
        <f t="shared" si="4"/>
        <v>1.3341202684375526</v>
      </c>
      <c r="J21" s="4">
        <f t="shared" si="4"/>
        <v>1.3236986985667925</v>
      </c>
    </row>
    <row r="22" spans="1:10" hidden="1" x14ac:dyDescent="0.3">
      <c r="A22" t="s">
        <v>34</v>
      </c>
      <c r="B22" s="4">
        <f t="shared" ref="B22:J22" si="5">(B7-B5)/B16</f>
        <v>0.21636080183380751</v>
      </c>
      <c r="C22" s="4">
        <f t="shared" si="5"/>
        <v>0.27572933415192363</v>
      </c>
      <c r="D22" s="4">
        <f t="shared" si="5"/>
        <v>0.25935740876889263</v>
      </c>
      <c r="E22" s="4">
        <f t="shared" si="5"/>
        <v>0.280787130589848</v>
      </c>
      <c r="F22" s="4">
        <f t="shared" si="5"/>
        <v>0.25796441157555666</v>
      </c>
      <c r="G22" s="4">
        <f t="shared" si="5"/>
        <v>0.1429595485745912</v>
      </c>
      <c r="H22" s="4">
        <f t="shared" si="5"/>
        <v>0.17377700018805586</v>
      </c>
      <c r="I22" s="4">
        <f t="shared" si="5"/>
        <v>0.17005137989674962</v>
      </c>
      <c r="J22" s="4">
        <f t="shared" si="5"/>
        <v>0.18399488806035902</v>
      </c>
    </row>
    <row r="23" spans="1:10" hidden="1" x14ac:dyDescent="0.3">
      <c r="A23" t="s">
        <v>35</v>
      </c>
      <c r="B23" s="10">
        <f t="shared" ref="B23:J23" si="6">(B13+B14)/B10</f>
        <v>0.17685092647614931</v>
      </c>
      <c r="C23" s="10">
        <f t="shared" si="6"/>
        <v>7.9212209020053853E-2</v>
      </c>
      <c r="D23" s="10">
        <f t="shared" si="6"/>
        <v>3.7605496101031602E-2</v>
      </c>
      <c r="E23" s="10">
        <f t="shared" si="6"/>
        <v>0.31796585657536719</v>
      </c>
      <c r="F23" s="10">
        <f t="shared" si="6"/>
        <v>0.20511441611291947</v>
      </c>
      <c r="G23" s="10">
        <f t="shared" si="6"/>
        <v>0.16796213456667067</v>
      </c>
      <c r="H23" s="10">
        <f t="shared" si="6"/>
        <v>0.17225500747009098</v>
      </c>
      <c r="I23" s="10">
        <f t="shared" si="6"/>
        <v>0.22487550846542437</v>
      </c>
      <c r="J23" s="10">
        <f t="shared" si="6"/>
        <v>0.25611930525837207</v>
      </c>
    </row>
    <row r="24" spans="1:10" hidden="1" x14ac:dyDescent="0.3"/>
    <row r="25" spans="1:10" hidden="1" x14ac:dyDescent="0.3"/>
    <row r="26" spans="1:10" hidden="1" x14ac:dyDescent="0.3"/>
    <row r="27" spans="1:10" hidden="1" x14ac:dyDescent="0.3">
      <c r="A27" t="s">
        <v>44</v>
      </c>
      <c r="B27" s="7">
        <f t="shared" ref="B27:J27" si="7">B5</f>
        <v>34057.07</v>
      </c>
      <c r="C27" s="7">
        <f t="shared" si="7"/>
        <v>39729.550000000003</v>
      </c>
      <c r="D27" s="7">
        <f t="shared" si="7"/>
        <v>35585.370000000003</v>
      </c>
      <c r="E27" s="7">
        <f t="shared" si="7"/>
        <v>36357.360000000001</v>
      </c>
      <c r="F27" s="7">
        <f t="shared" si="7"/>
        <v>43881.32</v>
      </c>
      <c r="G27" s="7">
        <f t="shared" si="7"/>
        <v>47456.5</v>
      </c>
      <c r="H27" s="7">
        <f t="shared" si="7"/>
        <v>57138.65</v>
      </c>
      <c r="I27" s="7">
        <f t="shared" si="7"/>
        <v>67404.210000000006</v>
      </c>
      <c r="J27" s="7">
        <f t="shared" si="7"/>
        <v>75677.94</v>
      </c>
    </row>
    <row r="28" spans="1:10" hidden="1" x14ac:dyDescent="0.3">
      <c r="A28" t="s">
        <v>45</v>
      </c>
      <c r="B28">
        <v>58.36</v>
      </c>
      <c r="C28">
        <v>7.26</v>
      </c>
      <c r="D28">
        <v>50.32</v>
      </c>
      <c r="E28">
        <v>20.72</v>
      </c>
      <c r="F28">
        <v>39.909999999999997</v>
      </c>
      <c r="G28">
        <v>44.63</v>
      </c>
      <c r="H28">
        <v>1075.6600000000001</v>
      </c>
      <c r="I28">
        <v>1697.32</v>
      </c>
      <c r="J28">
        <v>3313.18</v>
      </c>
    </row>
    <row r="29" spans="1:10" hidden="1" x14ac:dyDescent="0.3">
      <c r="A29" t="s">
        <v>46</v>
      </c>
      <c r="B29">
        <v>6800.99</v>
      </c>
      <c r="C29">
        <v>19198.5</v>
      </c>
      <c r="D29">
        <v>2843.38</v>
      </c>
      <c r="E29">
        <v>2992.19</v>
      </c>
      <c r="F29">
        <v>5580.51</v>
      </c>
      <c r="G29">
        <v>4952.55</v>
      </c>
      <c r="H29">
        <v>9684.98</v>
      </c>
      <c r="I29">
        <v>15340.29</v>
      </c>
      <c r="J29">
        <f>4.67+18681.03</f>
        <v>18685.699999999997</v>
      </c>
    </row>
    <row r="30" spans="1:10" hidden="1" x14ac:dyDescent="0.3">
      <c r="A30" t="s">
        <v>50</v>
      </c>
      <c r="B30">
        <v>66719.77</v>
      </c>
      <c r="C30">
        <v>74188.17</v>
      </c>
      <c r="D30">
        <v>57096.639999999999</v>
      </c>
      <c r="E30">
        <v>64922.720000000001</v>
      </c>
      <c r="F30">
        <v>66073.64</v>
      </c>
      <c r="G30">
        <v>81465.3</v>
      </c>
      <c r="H30">
        <v>108186.3</v>
      </c>
      <c r="I30">
        <v>145114.81</v>
      </c>
      <c r="J30">
        <v>191696.48</v>
      </c>
    </row>
    <row r="31" spans="1:10" hidden="1" x14ac:dyDescent="0.3"/>
    <row r="32" spans="1:10" hidden="1" x14ac:dyDescent="0.3">
      <c r="A32" t="s">
        <v>47</v>
      </c>
      <c r="B32" s="8">
        <f>B27*365/SOPL!B5</f>
        <v>202.06187768124536</v>
      </c>
      <c r="C32" s="8">
        <f>C27/SOPL!C5*365</f>
        <v>209.32338606130901</v>
      </c>
      <c r="D32" s="8">
        <f>D27/SOPL!D5*365</f>
        <v>208.77951444673428</v>
      </c>
      <c r="E32" s="8">
        <f>E27/SOPL!E5*365</f>
        <v>205.58765461170464</v>
      </c>
      <c r="F32" s="8">
        <f>F27/SOPL!F5*365</f>
        <v>263.25279558590404</v>
      </c>
      <c r="G32" s="8">
        <f>G27/SOPL!G5*365</f>
        <v>225.85801381177544</v>
      </c>
      <c r="H32" s="8">
        <f>H27/SOPL!H5*365</f>
        <v>213.37803194141856</v>
      </c>
      <c r="I32" s="8">
        <f>I27/SOPL!I5*365</f>
        <v>182.35622083018231</v>
      </c>
      <c r="J32" s="8">
        <f>J27/SOPL!J5*365</f>
        <v>146.29406526139007</v>
      </c>
    </row>
    <row r="33" spans="1:16" hidden="1" x14ac:dyDescent="0.3">
      <c r="A33" t="s">
        <v>48</v>
      </c>
      <c r="B33" s="8">
        <f>B28*365/SOPL!B4</f>
        <v>0.28419793872641536</v>
      </c>
      <c r="C33" s="8">
        <f>C28*365/SOPL!C4</f>
        <v>3.2106211841387393E-2</v>
      </c>
      <c r="D33" s="8">
        <f>D28*365/SOPL!D4</f>
        <v>0.24659493357156645</v>
      </c>
      <c r="E33" s="8">
        <f>E28*365/SOPL!E4</f>
        <v>9.6392655151924092E-2</v>
      </c>
      <c r="F33" s="8">
        <f>F28*365/SOPL!F4</f>
        <v>0.19885512392381199</v>
      </c>
      <c r="G33" s="8">
        <f>G28*365/SOPL!G4</f>
        <v>0.17987846185664957</v>
      </c>
      <c r="H33" s="8">
        <f>H28*365/SOPL!H4</f>
        <v>3.3892876948459363</v>
      </c>
      <c r="I33" s="8">
        <f>I28*365/SOPL!I4</f>
        <v>3.9253561034415001</v>
      </c>
      <c r="J33" s="8">
        <f>J28*365/SOPL!J4</f>
        <v>5.58867477301553</v>
      </c>
    </row>
    <row r="34" spans="1:16" hidden="1" x14ac:dyDescent="0.3">
      <c r="A34" t="s">
        <v>49</v>
      </c>
      <c r="B34" s="8">
        <f t="shared" ref="B34:J34" si="8">B29*365/B30</f>
        <v>37.205783982768523</v>
      </c>
      <c r="C34" s="8">
        <f t="shared" si="8"/>
        <v>94.455120000938152</v>
      </c>
      <c r="D34" s="8">
        <f t="shared" si="8"/>
        <v>18.176791138672961</v>
      </c>
      <c r="E34" s="8">
        <f t="shared" si="8"/>
        <v>16.82229811073843</v>
      </c>
      <c r="F34" s="8">
        <f t="shared" si="8"/>
        <v>30.827515329865285</v>
      </c>
      <c r="G34" s="8">
        <f t="shared" si="8"/>
        <v>22.18957948967229</v>
      </c>
      <c r="H34" s="8">
        <f t="shared" si="8"/>
        <v>32.675280511488047</v>
      </c>
      <c r="I34" s="8">
        <f t="shared" si="8"/>
        <v>38.58466168959599</v>
      </c>
      <c r="J34" s="8">
        <f t="shared" si="8"/>
        <v>35.578538009670282</v>
      </c>
    </row>
    <row r="35" spans="1:16" hidden="1" x14ac:dyDescent="0.3">
      <c r="A35" s="1" t="s">
        <v>51</v>
      </c>
      <c r="B35" s="9">
        <f t="shared" ref="B35:J35" si="9">B32+B33-B34</f>
        <v>165.14029163720323</v>
      </c>
      <c r="C35" s="9">
        <f t="shared" si="9"/>
        <v>114.90037227221224</v>
      </c>
      <c r="D35" s="9">
        <f t="shared" si="9"/>
        <v>190.84931824163289</v>
      </c>
      <c r="E35" s="9">
        <f t="shared" si="9"/>
        <v>188.86174915611815</v>
      </c>
      <c r="F35" s="9">
        <f t="shared" si="9"/>
        <v>232.62413537996255</v>
      </c>
      <c r="G35" s="9">
        <f t="shared" si="9"/>
        <v>203.84831278395978</v>
      </c>
      <c r="H35" s="9">
        <f t="shared" si="9"/>
        <v>184.09203912477645</v>
      </c>
      <c r="I35" s="9">
        <f t="shared" si="9"/>
        <v>147.69691524402782</v>
      </c>
      <c r="J35" s="9">
        <f t="shared" si="9"/>
        <v>116.30420202473532</v>
      </c>
    </row>
    <row r="40" spans="1:16" ht="28.8" x14ac:dyDescent="0.3">
      <c r="A40" s="1" t="s">
        <v>1</v>
      </c>
      <c r="C40" s="64" t="s">
        <v>11</v>
      </c>
      <c r="D40" t="s">
        <v>2</v>
      </c>
      <c r="E40" t="s">
        <v>3</v>
      </c>
      <c r="F40" s="64" t="s">
        <v>10</v>
      </c>
      <c r="G40" s="1" t="s">
        <v>4</v>
      </c>
      <c r="I40" s="62" t="s">
        <v>5</v>
      </c>
      <c r="J40" t="s">
        <v>8</v>
      </c>
      <c r="K40" t="s">
        <v>6</v>
      </c>
      <c r="L40" t="s">
        <v>7</v>
      </c>
      <c r="M40" t="s">
        <v>32</v>
      </c>
      <c r="N40" s="64" t="s">
        <v>9</v>
      </c>
      <c r="O40" s="64" t="s">
        <v>12</v>
      </c>
      <c r="P40" s="65" t="s">
        <v>13</v>
      </c>
    </row>
    <row r="41" spans="1:16" x14ac:dyDescent="0.3">
      <c r="A41" s="2">
        <v>17</v>
      </c>
      <c r="C41" s="63">
        <v>12947.3</v>
      </c>
      <c r="D41" s="3">
        <v>34057.07</v>
      </c>
      <c r="E41" s="3">
        <f t="shared" ref="E41:E49" si="10">F41-D41</f>
        <v>8143.760000000002</v>
      </c>
      <c r="F41" s="63">
        <v>42200.83</v>
      </c>
      <c r="G41" s="61">
        <f t="shared" ref="G41:G46" si="11">C41+F41</f>
        <v>55148.130000000005</v>
      </c>
      <c r="H41" s="3"/>
      <c r="I41" s="63">
        <v>14808.8</v>
      </c>
      <c r="J41" s="3"/>
      <c r="K41" s="3"/>
      <c r="L41" s="3">
        <v>2618.9499999999998</v>
      </c>
      <c r="M41" s="3">
        <v>0</v>
      </c>
      <c r="N41" s="63">
        <v>2699.61</v>
      </c>
      <c r="O41" s="63">
        <v>37639.72</v>
      </c>
      <c r="P41" s="61">
        <f t="shared" ref="P41:P49" si="12">I41+N41+O41</f>
        <v>55148.130000000005</v>
      </c>
    </row>
    <row r="42" spans="1:16" x14ac:dyDescent="0.3">
      <c r="A42" s="2">
        <f t="shared" ref="A42:A49" si="13">A41+1</f>
        <v>18</v>
      </c>
      <c r="C42" s="63">
        <v>14647.53</v>
      </c>
      <c r="D42" s="3">
        <v>39729.550000000003</v>
      </c>
      <c r="E42" s="3">
        <f t="shared" si="10"/>
        <v>12067.649999999994</v>
      </c>
      <c r="F42" s="63">
        <v>51797.2</v>
      </c>
      <c r="G42" s="61">
        <f t="shared" si="11"/>
        <v>66444.73</v>
      </c>
      <c r="H42" s="3"/>
      <c r="I42" s="63">
        <v>20802.98</v>
      </c>
      <c r="J42" s="3"/>
      <c r="K42" s="3"/>
      <c r="L42" s="3">
        <v>1647.85</v>
      </c>
      <c r="M42" s="3">
        <v>0</v>
      </c>
      <c r="N42" s="63">
        <v>1875.46</v>
      </c>
      <c r="O42" s="63">
        <v>43766.29</v>
      </c>
      <c r="P42" s="61">
        <f t="shared" si="12"/>
        <v>66444.73</v>
      </c>
    </row>
    <row r="43" spans="1:16" x14ac:dyDescent="0.3">
      <c r="A43" s="2">
        <f t="shared" si="13"/>
        <v>19</v>
      </c>
      <c r="C43" s="63">
        <v>14981.76</v>
      </c>
      <c r="D43" s="3">
        <v>35585.370000000003</v>
      </c>
      <c r="E43" s="3">
        <f t="shared" si="10"/>
        <v>9874.0400000000009</v>
      </c>
      <c r="F43" s="63">
        <v>45459.41</v>
      </c>
      <c r="G43" s="61">
        <f t="shared" si="11"/>
        <v>60441.170000000006</v>
      </c>
      <c r="H43" s="3"/>
      <c r="I43" s="63">
        <v>21254.34</v>
      </c>
      <c r="J43" s="3"/>
      <c r="K43" s="3"/>
      <c r="L43" s="3">
        <v>799.28</v>
      </c>
      <c r="M43" s="3">
        <v>0</v>
      </c>
      <c r="N43" s="63">
        <v>1115.6600000000001</v>
      </c>
      <c r="O43" s="63">
        <v>38071.17</v>
      </c>
      <c r="P43" s="61">
        <f t="shared" si="12"/>
        <v>60441.17</v>
      </c>
    </row>
    <row r="44" spans="1:16" x14ac:dyDescent="0.3">
      <c r="A44" s="2">
        <f t="shared" si="13"/>
        <v>20</v>
      </c>
      <c r="C44" s="63">
        <v>19933.66</v>
      </c>
      <c r="D44" s="3">
        <v>36357.360000000001</v>
      </c>
      <c r="E44" s="3">
        <f t="shared" si="10"/>
        <v>10782.720000000001</v>
      </c>
      <c r="F44" s="63">
        <v>47140.08</v>
      </c>
      <c r="G44" s="61">
        <f t="shared" si="11"/>
        <v>67073.740000000005</v>
      </c>
      <c r="H44" s="3"/>
      <c r="I44" s="63">
        <v>21573.7</v>
      </c>
      <c r="J44" s="3"/>
      <c r="K44" s="3"/>
      <c r="L44" s="3">
        <v>375.07</v>
      </c>
      <c r="M44" s="3">
        <v>6484.63</v>
      </c>
      <c r="N44" s="63">
        <v>7098.28</v>
      </c>
      <c r="O44" s="63">
        <v>38401.760000000002</v>
      </c>
      <c r="P44" s="61">
        <f t="shared" si="12"/>
        <v>67073.740000000005</v>
      </c>
    </row>
    <row r="45" spans="1:16" x14ac:dyDescent="0.3">
      <c r="A45" s="2">
        <f t="shared" si="13"/>
        <v>21</v>
      </c>
      <c r="C45" s="63">
        <v>24308.45</v>
      </c>
      <c r="D45" s="3">
        <v>43881.32</v>
      </c>
      <c r="E45" s="3">
        <f t="shared" si="10"/>
        <v>10934.580000000002</v>
      </c>
      <c r="F45" s="63">
        <v>54815.9</v>
      </c>
      <c r="G45" s="61">
        <f t="shared" si="11"/>
        <v>79124.350000000006</v>
      </c>
      <c r="H45" s="3"/>
      <c r="I45" s="63">
        <v>30254.48</v>
      </c>
      <c r="J45" s="3"/>
      <c r="K45" s="3"/>
      <c r="L45" s="3">
        <v>161.54</v>
      </c>
      <c r="M45" s="3">
        <v>6044.09</v>
      </c>
      <c r="N45" s="63">
        <v>6481.93</v>
      </c>
      <c r="O45" s="63">
        <v>42387.94</v>
      </c>
      <c r="P45" s="61">
        <f t="shared" si="12"/>
        <v>79124.350000000006</v>
      </c>
    </row>
    <row r="46" spans="1:16" x14ac:dyDescent="0.3">
      <c r="A46" s="2">
        <f t="shared" si="13"/>
        <v>22</v>
      </c>
      <c r="C46" s="63">
        <v>24502.75</v>
      </c>
      <c r="D46" s="3">
        <v>47456.5</v>
      </c>
      <c r="E46" s="3">
        <f t="shared" si="10"/>
        <v>5600</v>
      </c>
      <c r="F46" s="63">
        <v>53056.5</v>
      </c>
      <c r="G46" s="61">
        <f t="shared" si="11"/>
        <v>77559.25</v>
      </c>
      <c r="H46" s="3"/>
      <c r="I46" s="63">
        <v>32635.57</v>
      </c>
      <c r="J46" s="3"/>
      <c r="K46" s="3"/>
      <c r="L46" s="3">
        <v>0</v>
      </c>
      <c r="M46" s="3">
        <v>5481.54</v>
      </c>
      <c r="N46" s="63">
        <v>5751.76</v>
      </c>
      <c r="O46" s="63">
        <v>39171.919999999998</v>
      </c>
      <c r="P46" s="61">
        <f t="shared" si="12"/>
        <v>77559.25</v>
      </c>
    </row>
    <row r="47" spans="1:16" x14ac:dyDescent="0.3">
      <c r="A47" s="2">
        <f t="shared" si="13"/>
        <v>23</v>
      </c>
      <c r="C47" s="63">
        <v>25034.49</v>
      </c>
      <c r="D47" s="3">
        <v>57138.65</v>
      </c>
      <c r="E47" s="3">
        <f t="shared" si="10"/>
        <v>8464.489999999998</v>
      </c>
      <c r="F47" s="63">
        <v>65603.14</v>
      </c>
      <c r="G47" s="61">
        <f>C47+F47+1339.1</f>
        <v>91976.73000000001</v>
      </c>
      <c r="H47" s="3"/>
      <c r="I47" s="63">
        <v>36666.22</v>
      </c>
      <c r="J47" s="3"/>
      <c r="K47" s="3"/>
      <c r="L47" s="3">
        <v>0</v>
      </c>
      <c r="M47" s="3">
        <v>6315.94</v>
      </c>
      <c r="N47" s="63">
        <v>6601.59</v>
      </c>
      <c r="O47" s="63">
        <v>48708.92</v>
      </c>
      <c r="P47" s="61">
        <f t="shared" si="12"/>
        <v>91976.73</v>
      </c>
    </row>
    <row r="48" spans="1:16" x14ac:dyDescent="0.3">
      <c r="A48" s="2">
        <f t="shared" si="13"/>
        <v>24</v>
      </c>
      <c r="C48" s="63">
        <v>30692.9</v>
      </c>
      <c r="D48" s="3">
        <v>67404.210000000006</v>
      </c>
      <c r="E48" s="3">
        <f t="shared" si="10"/>
        <v>9846.6499999999942</v>
      </c>
      <c r="F48" s="63">
        <v>77250.86</v>
      </c>
      <c r="G48" s="61">
        <f>C48+F48+1339.1</f>
        <v>109282.86000000002</v>
      </c>
      <c r="H48" s="3"/>
      <c r="I48" s="63">
        <v>41669.5</v>
      </c>
      <c r="J48" s="3"/>
      <c r="K48" s="3"/>
      <c r="L48" s="3">
        <v>0</v>
      </c>
      <c r="M48" s="3">
        <v>9370.4500000000007</v>
      </c>
      <c r="N48" s="63">
        <v>9709.39</v>
      </c>
      <c r="O48" s="63">
        <v>57903.97</v>
      </c>
      <c r="P48" s="61">
        <f t="shared" si="12"/>
        <v>109282.86</v>
      </c>
    </row>
    <row r="49" spans="1:16" x14ac:dyDescent="0.3">
      <c r="A49" s="2">
        <f t="shared" si="13"/>
        <v>25</v>
      </c>
      <c r="C49" s="63">
        <v>39196.85</v>
      </c>
      <c r="D49" s="3">
        <v>75677.94</v>
      </c>
      <c r="E49" s="3">
        <f t="shared" si="10"/>
        <v>12217.520000000004</v>
      </c>
      <c r="F49" s="63">
        <v>87895.46</v>
      </c>
      <c r="G49" s="61">
        <f>C49+F49</f>
        <v>127092.31</v>
      </c>
      <c r="H49" s="3"/>
      <c r="I49" s="63">
        <v>47772.58</v>
      </c>
      <c r="J49" s="3"/>
      <c r="K49" s="3"/>
      <c r="L49" s="3">
        <v>0</v>
      </c>
      <c r="M49" s="3">
        <v>12235.48</v>
      </c>
      <c r="N49" s="63">
        <v>12918.32</v>
      </c>
      <c r="O49" s="63">
        <v>66401.41</v>
      </c>
      <c r="P49" s="61">
        <f t="shared" si="12"/>
        <v>127092.31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679E9-AE1E-4AFC-B7F8-F1106BF2DFC4}">
  <sheetPr codeName="Sheet2"/>
  <dimension ref="A1:AP82"/>
  <sheetViews>
    <sheetView topLeftCell="A27" zoomScale="96" workbookViewId="0">
      <selection activeCell="AF23" sqref="AF23"/>
    </sheetView>
  </sheetViews>
  <sheetFormatPr defaultRowHeight="14.4" x14ac:dyDescent="0.3"/>
  <cols>
    <col min="1" max="1" width="20.44140625" bestFit="1" customWidth="1"/>
    <col min="2" max="2" width="16.6640625" bestFit="1" customWidth="1"/>
    <col min="3" max="3" width="14.109375" bestFit="1" customWidth="1"/>
    <col min="4" max="4" width="13.44140625" bestFit="1" customWidth="1"/>
    <col min="5" max="5" width="13.77734375" bestFit="1" customWidth="1"/>
    <col min="6" max="6" width="13.109375" bestFit="1" customWidth="1"/>
    <col min="7" max="7" width="11.44140625" bestFit="1" customWidth="1"/>
    <col min="8" max="8" width="8.21875" bestFit="1" customWidth="1"/>
    <col min="9" max="9" width="7.109375" bestFit="1" customWidth="1"/>
    <col min="10" max="10" width="8.44140625" bestFit="1" customWidth="1"/>
    <col min="11" max="11" width="9.21875" bestFit="1" customWidth="1"/>
    <col min="12" max="12" width="10" bestFit="1" customWidth="1"/>
    <col min="13" max="13" width="13.21875" bestFit="1" customWidth="1"/>
    <col min="14" max="14" width="13.44140625" bestFit="1" customWidth="1"/>
    <col min="15" max="15" width="18.5546875" bestFit="1" customWidth="1"/>
    <col min="16" max="16" width="19.77734375" bestFit="1" customWidth="1"/>
    <col min="17" max="17" width="20.33203125" customWidth="1"/>
    <col min="18" max="18" width="17.33203125" customWidth="1"/>
    <col min="19" max="19" width="15.109375" customWidth="1"/>
    <col min="20" max="20" width="21.21875" customWidth="1"/>
    <col min="21" max="21" width="17.33203125" customWidth="1"/>
    <col min="22" max="26" width="15.109375" customWidth="1"/>
    <col min="27" max="28" width="11.6640625" customWidth="1"/>
    <col min="29" max="29" width="14.109375" customWidth="1"/>
    <col min="30" max="30" width="13.44140625" customWidth="1"/>
    <col min="31" max="31" width="19.21875" customWidth="1"/>
    <col min="32" max="32" width="21.44140625" customWidth="1"/>
    <col min="33" max="33" width="19.33203125" customWidth="1"/>
    <col min="34" max="34" width="16.109375" bestFit="1" customWidth="1"/>
    <col min="35" max="35" width="13.44140625" bestFit="1" customWidth="1"/>
    <col min="36" max="36" width="18.5546875" bestFit="1" customWidth="1"/>
    <col min="37" max="37" width="15.6640625" bestFit="1" customWidth="1"/>
    <col min="38" max="38" width="11.5546875" bestFit="1" customWidth="1"/>
    <col min="39" max="39" width="9" bestFit="1" customWidth="1"/>
    <col min="40" max="40" width="13" bestFit="1" customWidth="1"/>
    <col min="41" max="41" width="13.33203125" bestFit="1" customWidth="1"/>
    <col min="43" max="43" width="16.109375" bestFit="1" customWidth="1"/>
    <col min="44" max="44" width="13.44140625" bestFit="1" customWidth="1"/>
  </cols>
  <sheetData>
    <row r="1" spans="1:21" x14ac:dyDescent="0.3">
      <c r="A1" s="1" t="s">
        <v>63</v>
      </c>
    </row>
    <row r="2" spans="1:21" x14ac:dyDescent="0.3">
      <c r="A2" s="1" t="str">
        <f>SOFP!A2</f>
        <v>Year</v>
      </c>
      <c r="B2" s="2">
        <f>SOFP!B2</f>
        <v>17</v>
      </c>
      <c r="C2" s="2">
        <f>SOFP!C2</f>
        <v>18</v>
      </c>
      <c r="D2" s="2">
        <f>SOFP!D2</f>
        <v>19</v>
      </c>
      <c r="E2" s="2">
        <f>SOFP!E2</f>
        <v>20</v>
      </c>
      <c r="F2" s="2">
        <f>SOFP!F2</f>
        <v>21</v>
      </c>
      <c r="G2" s="2">
        <f>SOFP!G2</f>
        <v>22</v>
      </c>
      <c r="H2" s="2">
        <f>SOFP!H2</f>
        <v>23</v>
      </c>
      <c r="I2" s="2">
        <f>SOFP!I2</f>
        <v>24</v>
      </c>
      <c r="J2" s="2">
        <f>SOFP!J2</f>
        <v>25</v>
      </c>
      <c r="L2" s="1"/>
      <c r="M2" s="1"/>
    </row>
    <row r="4" spans="1:21" x14ac:dyDescent="0.3">
      <c r="A4" s="1" t="s">
        <v>14</v>
      </c>
      <c r="B4" s="6">
        <f>75552.29-599.6</f>
        <v>74952.689999999988</v>
      </c>
      <c r="C4" s="6">
        <f>82754.75-219.32</f>
        <v>82535.429999999993</v>
      </c>
      <c r="D4" s="6">
        <v>74481.66</v>
      </c>
      <c r="E4" s="6">
        <v>78458.259999999995</v>
      </c>
      <c r="F4" s="6">
        <v>73255.09</v>
      </c>
      <c r="G4" s="6">
        <v>90560.87</v>
      </c>
      <c r="H4" s="6">
        <v>115840.24</v>
      </c>
      <c r="I4" s="6">
        <v>157825.63</v>
      </c>
      <c r="J4" s="6">
        <v>216385.95</v>
      </c>
      <c r="L4" s="5"/>
      <c r="M4" s="5"/>
      <c r="P4" s="18"/>
    </row>
    <row r="5" spans="1:21" x14ac:dyDescent="0.3">
      <c r="A5" t="s">
        <v>15</v>
      </c>
      <c r="B5" s="3">
        <f>66719.77-5199.85</f>
        <v>61519.920000000006</v>
      </c>
      <c r="C5" s="3">
        <f>74188.17-4911.22</f>
        <v>69276.95</v>
      </c>
      <c r="D5" s="3">
        <f>57096.64+5115.69</f>
        <v>62212.33</v>
      </c>
      <c r="E5" s="3">
        <f>64922.72-373.92</f>
        <v>64548.800000000003</v>
      </c>
      <c r="F5" s="3">
        <f>66073.64-5232.19</f>
        <v>60841.45</v>
      </c>
      <c r="G5" s="3">
        <f>81465.3-4772.77</f>
        <v>76692.53</v>
      </c>
      <c r="H5" s="3">
        <f>108186.3-10446.12</f>
        <v>97740.180000000008</v>
      </c>
      <c r="I5" s="3">
        <f>145114.81-10200.1</f>
        <v>134914.71</v>
      </c>
      <c r="J5" s="3">
        <f>191696.48-2881.93</f>
        <v>188814.55000000002</v>
      </c>
      <c r="L5" s="1"/>
    </row>
    <row r="6" spans="1:21" x14ac:dyDescent="0.3">
      <c r="A6" s="1" t="s">
        <v>16</v>
      </c>
      <c r="B6" s="6">
        <f t="shared" ref="B6:J6" si="0">B4-B5</f>
        <v>13432.769999999982</v>
      </c>
      <c r="C6" s="6">
        <f t="shared" si="0"/>
        <v>13258.479999999996</v>
      </c>
      <c r="D6" s="6">
        <f t="shared" si="0"/>
        <v>12269.330000000002</v>
      </c>
      <c r="E6" s="6">
        <f t="shared" si="0"/>
        <v>13909.459999999992</v>
      </c>
      <c r="F6" s="6">
        <f t="shared" si="0"/>
        <v>12413.64</v>
      </c>
      <c r="G6" s="6">
        <f t="shared" si="0"/>
        <v>13868.339999999997</v>
      </c>
      <c r="H6" s="6">
        <f t="shared" si="0"/>
        <v>18100.059999999998</v>
      </c>
      <c r="I6" s="6">
        <f t="shared" si="0"/>
        <v>22910.920000000013</v>
      </c>
      <c r="J6" s="6">
        <f t="shared" si="0"/>
        <v>27571.399999999994</v>
      </c>
      <c r="L6" s="5"/>
      <c r="M6" s="5"/>
    </row>
    <row r="7" spans="1:21" x14ac:dyDescent="0.3">
      <c r="A7" t="s">
        <v>23</v>
      </c>
      <c r="B7" s="3">
        <v>513.16999999999996</v>
      </c>
      <c r="C7" s="3">
        <v>435.38</v>
      </c>
      <c r="D7" s="3">
        <v>584.16</v>
      </c>
      <c r="E7" s="3">
        <v>982.96</v>
      </c>
      <c r="F7" s="3">
        <v>528.67999999999995</v>
      </c>
      <c r="G7" s="3">
        <v>424.49</v>
      </c>
      <c r="H7" s="3">
        <v>426.35</v>
      </c>
      <c r="I7" s="3">
        <v>764.77</v>
      </c>
      <c r="J7" s="3">
        <v>1485.46</v>
      </c>
      <c r="L7" s="1"/>
    </row>
    <row r="8" spans="1:21" x14ac:dyDescent="0.3">
      <c r="A8" t="s">
        <v>17</v>
      </c>
      <c r="B8" s="3">
        <f>2558.18</f>
        <v>2558.1799999999998</v>
      </c>
      <c r="C8" s="3">
        <v>3026.59</v>
      </c>
      <c r="D8" s="3">
        <v>3190.17</v>
      </c>
      <c r="E8" s="3">
        <v>3000.7</v>
      </c>
      <c r="F8" s="3">
        <v>2868.3</v>
      </c>
      <c r="G8" s="3">
        <v>2973.64</v>
      </c>
      <c r="H8" s="3">
        <v>3711.55</v>
      </c>
      <c r="I8" s="3">
        <v>5183.37</v>
      </c>
      <c r="J8" s="3">
        <v>6386.72</v>
      </c>
      <c r="L8" s="1"/>
    </row>
    <row r="9" spans="1:21" x14ac:dyDescent="0.3">
      <c r="A9" t="s">
        <v>20</v>
      </c>
      <c r="B9" s="3">
        <v>6085.21</v>
      </c>
      <c r="C9" s="3">
        <v>5316.53</v>
      </c>
      <c r="D9" s="3">
        <v>5835.11</v>
      </c>
      <c r="E9" s="3">
        <v>4547.4399999999996</v>
      </c>
      <c r="F9" s="3">
        <v>3298.26</v>
      </c>
      <c r="G9" s="3">
        <v>3979.35</v>
      </c>
      <c r="H9" s="3">
        <v>5057.72</v>
      </c>
      <c r="I9" s="3">
        <v>6570.74</v>
      </c>
      <c r="J9" s="3">
        <v>8389.23</v>
      </c>
      <c r="L9" s="1"/>
      <c r="O9" s="19"/>
      <c r="P9" s="19"/>
      <c r="Q9" s="19"/>
      <c r="R9" s="19"/>
      <c r="S9" s="19"/>
      <c r="T9" s="19"/>
      <c r="U9" s="19"/>
    </row>
    <row r="10" spans="1:21" x14ac:dyDescent="0.3">
      <c r="A10" s="1" t="s">
        <v>21</v>
      </c>
      <c r="B10" s="6">
        <f>B6+B7-B8-B9</f>
        <v>5302.549999999982</v>
      </c>
      <c r="C10" s="6">
        <f t="shared" ref="C10:J10" si="1">C6+C7-C8-C9</f>
        <v>5350.7399999999952</v>
      </c>
      <c r="D10" s="6">
        <f t="shared" si="1"/>
        <v>3828.2100000000019</v>
      </c>
      <c r="E10" s="6">
        <f t="shared" si="1"/>
        <v>7344.2799999999907</v>
      </c>
      <c r="F10" s="6">
        <f t="shared" si="1"/>
        <v>6775.76</v>
      </c>
      <c r="G10" s="6">
        <f t="shared" si="1"/>
        <v>7339.8399999999965</v>
      </c>
      <c r="H10" s="6">
        <f>H6+H7-H8-H9</f>
        <v>9757.1399999999958</v>
      </c>
      <c r="I10" s="6">
        <f t="shared" si="1"/>
        <v>11921.580000000014</v>
      </c>
      <c r="J10" s="6">
        <f t="shared" si="1"/>
        <v>14280.909999999993</v>
      </c>
      <c r="L10" s="5"/>
      <c r="M10" s="5"/>
      <c r="O10" s="20"/>
      <c r="P10" s="21"/>
      <c r="Q10" s="21"/>
      <c r="R10" s="21"/>
      <c r="S10" s="21"/>
      <c r="T10" s="21"/>
      <c r="U10" s="21"/>
    </row>
    <row r="11" spans="1:21" x14ac:dyDescent="0.3">
      <c r="A11" t="s">
        <v>19</v>
      </c>
      <c r="B11" s="3">
        <v>775.4</v>
      </c>
      <c r="C11" s="3">
        <v>818.21</v>
      </c>
      <c r="D11" s="3">
        <v>906.25</v>
      </c>
      <c r="E11" s="3">
        <v>1859.75</v>
      </c>
      <c r="F11" s="3">
        <v>1740.23</v>
      </c>
      <c r="G11" s="3">
        <v>1805.23</v>
      </c>
      <c r="H11" s="3">
        <v>1830.62</v>
      </c>
      <c r="I11" s="3">
        <v>2063.85</v>
      </c>
      <c r="J11" s="3">
        <v>2461.4499999999998</v>
      </c>
      <c r="L11" s="1"/>
    </row>
    <row r="12" spans="1:21" x14ac:dyDescent="0.3">
      <c r="A12" s="1" t="s">
        <v>22</v>
      </c>
      <c r="B12" s="6">
        <f>B10-B11</f>
        <v>4527.1499999999824</v>
      </c>
      <c r="C12" s="6">
        <f t="shared" ref="C12:J12" si="2">C10-C11</f>
        <v>4532.5299999999952</v>
      </c>
      <c r="D12" s="6">
        <f t="shared" si="2"/>
        <v>2921.9600000000019</v>
      </c>
      <c r="E12" s="6">
        <f t="shared" si="2"/>
        <v>5484.5299999999907</v>
      </c>
      <c r="F12" s="6">
        <f t="shared" si="2"/>
        <v>5035.5300000000007</v>
      </c>
      <c r="G12" s="6">
        <f t="shared" si="2"/>
        <v>5534.6099999999969</v>
      </c>
      <c r="H12" s="6">
        <f t="shared" si="2"/>
        <v>7926.5199999999959</v>
      </c>
      <c r="I12" s="6">
        <f t="shared" si="2"/>
        <v>9857.7300000000141</v>
      </c>
      <c r="J12" s="6">
        <f t="shared" si="2"/>
        <v>11819.459999999992</v>
      </c>
      <c r="L12" s="5"/>
      <c r="M12" s="5"/>
    </row>
    <row r="13" spans="1:21" x14ac:dyDescent="0.3">
      <c r="A13" s="1" t="s">
        <v>18</v>
      </c>
      <c r="B13" s="3">
        <v>3138.15</v>
      </c>
      <c r="C13" s="3">
        <v>2337.11</v>
      </c>
      <c r="D13" s="3">
        <v>2277.6</v>
      </c>
      <c r="E13" s="3">
        <v>3131.27</v>
      </c>
      <c r="F13" s="3">
        <v>3160.68</v>
      </c>
      <c r="G13" s="3">
        <v>2636.04</v>
      </c>
      <c r="H13" s="3">
        <v>2343.19</v>
      </c>
      <c r="I13" s="3">
        <v>2416.52</v>
      </c>
      <c r="J13" s="3">
        <v>2496.81</v>
      </c>
      <c r="L13" s="1"/>
    </row>
    <row r="14" spans="1:21" x14ac:dyDescent="0.3">
      <c r="A14" s="1" t="s">
        <v>24</v>
      </c>
      <c r="B14" s="6">
        <f>B12-B13</f>
        <v>1388.9999999999823</v>
      </c>
      <c r="C14" s="6">
        <f t="shared" ref="C14:J14" si="3">C12-C13</f>
        <v>2195.4199999999951</v>
      </c>
      <c r="D14" s="6">
        <f t="shared" si="3"/>
        <v>644.36000000000195</v>
      </c>
      <c r="E14" s="6">
        <f>E12-E13</f>
        <v>2353.2599999999907</v>
      </c>
      <c r="F14" s="6">
        <f t="shared" si="3"/>
        <v>1874.8500000000008</v>
      </c>
      <c r="G14" s="6">
        <f t="shared" si="3"/>
        <v>2898.569999999997</v>
      </c>
      <c r="H14" s="6">
        <f t="shared" si="3"/>
        <v>5583.3299999999963</v>
      </c>
      <c r="I14" s="6">
        <f t="shared" si="3"/>
        <v>7441.2100000000137</v>
      </c>
      <c r="J14" s="6">
        <f t="shared" si="3"/>
        <v>9322.6499999999924</v>
      </c>
      <c r="L14" s="1"/>
      <c r="P14" s="18"/>
    </row>
    <row r="15" spans="1:21" x14ac:dyDescent="0.3">
      <c r="A15" t="s">
        <v>25</v>
      </c>
      <c r="B15" s="3">
        <v>244.18</v>
      </c>
      <c r="C15" s="3">
        <v>819.52</v>
      </c>
      <c r="D15" s="3">
        <v>195.02</v>
      </c>
      <c r="E15" s="3">
        <v>789.75</v>
      </c>
      <c r="F15" s="3">
        <v>492.53</v>
      </c>
      <c r="G15" s="3">
        <v>756.85</v>
      </c>
      <c r="H15" s="3">
        <v>1352.71</v>
      </c>
      <c r="I15" s="3">
        <v>1900.63</v>
      </c>
      <c r="J15" s="3">
        <v>2435.83</v>
      </c>
      <c r="L15" s="1"/>
    </row>
    <row r="16" spans="1:21" x14ac:dyDescent="0.3">
      <c r="A16" s="1" t="s">
        <v>26</v>
      </c>
      <c r="B16" s="6">
        <f>B14-B15</f>
        <v>1144.8199999999822</v>
      </c>
      <c r="C16" s="6">
        <f t="shared" ref="C16:J16" si="4">C14-C15</f>
        <v>1375.8999999999951</v>
      </c>
      <c r="D16" s="6">
        <f t="shared" si="4"/>
        <v>449.34000000000196</v>
      </c>
      <c r="E16" s="6">
        <f>E14-E15</f>
        <v>1563.5099999999907</v>
      </c>
      <c r="F16" s="6">
        <f t="shared" si="4"/>
        <v>1382.3200000000008</v>
      </c>
      <c r="G16" s="6">
        <f t="shared" si="4"/>
        <v>2141.7199999999971</v>
      </c>
      <c r="H16" s="6">
        <f>H14-H15-332.51</f>
        <v>3898.109999999996</v>
      </c>
      <c r="I16" s="6">
        <f t="shared" si="4"/>
        <v>5540.5800000000136</v>
      </c>
      <c r="J16" s="6">
        <f t="shared" si="4"/>
        <v>6886.8199999999924</v>
      </c>
      <c r="L16" s="5"/>
      <c r="M16" s="5"/>
    </row>
    <row r="17" spans="1:39" x14ac:dyDescent="0.3">
      <c r="A17" s="1" t="s">
        <v>27</v>
      </c>
      <c r="B17" s="6">
        <v>1.36</v>
      </c>
      <c r="C17" s="6">
        <v>1.64</v>
      </c>
      <c r="D17" s="6">
        <v>0.54</v>
      </c>
      <c r="E17" s="6">
        <v>1.86</v>
      </c>
      <c r="F17" s="6">
        <v>1.63</v>
      </c>
      <c r="G17" s="6">
        <v>2.08</v>
      </c>
      <c r="H17" s="6">
        <v>3.78</v>
      </c>
      <c r="I17" s="6">
        <v>5.38</v>
      </c>
      <c r="J17" s="6">
        <v>6.68</v>
      </c>
      <c r="L17" s="5"/>
      <c r="M17" s="5"/>
    </row>
    <row r="20" spans="1:39" x14ac:dyDescent="0.3">
      <c r="A20" s="1" t="s">
        <v>41</v>
      </c>
      <c r="B20" s="15">
        <v>0</v>
      </c>
      <c r="C20" s="15">
        <f t="shared" ref="C20:J20" si="5">C4/B4-1</f>
        <v>0.10116701615378987</v>
      </c>
      <c r="D20" s="15">
        <f t="shared" si="5"/>
        <v>-9.7579548564779905E-2</v>
      </c>
      <c r="E20" s="15">
        <f t="shared" si="5"/>
        <v>5.3390324544323908E-2</v>
      </c>
      <c r="F20" s="15">
        <f t="shared" si="5"/>
        <v>-6.6317682803569644E-2</v>
      </c>
      <c r="G20" s="15">
        <f t="shared" si="5"/>
        <v>0.23623996639687417</v>
      </c>
      <c r="H20" s="15">
        <f t="shared" si="5"/>
        <v>0.27914230505956938</v>
      </c>
      <c r="I20" s="15">
        <f t="shared" si="5"/>
        <v>0.36244218761977698</v>
      </c>
      <c r="J20" s="15">
        <f t="shared" si="5"/>
        <v>0.37104442415341543</v>
      </c>
    </row>
    <row r="21" spans="1:39" x14ac:dyDescent="0.3">
      <c r="A21" s="1" t="s">
        <v>36</v>
      </c>
      <c r="B21" s="17">
        <f t="shared" ref="B21:J21" si="6">B12/B13</f>
        <v>1.4426174657043105</v>
      </c>
      <c r="C21" s="17">
        <f t="shared" si="6"/>
        <v>1.9393738420527895</v>
      </c>
      <c r="D21" s="17">
        <f t="shared" si="6"/>
        <v>1.282911837021427</v>
      </c>
      <c r="E21" s="17">
        <f t="shared" si="6"/>
        <v>1.7515353195348822</v>
      </c>
      <c r="F21" s="17">
        <f t="shared" si="6"/>
        <v>1.5931793158434264</v>
      </c>
      <c r="G21" s="17">
        <f t="shared" si="6"/>
        <v>2.0995925706741918</v>
      </c>
      <c r="H21" s="17">
        <f t="shared" si="6"/>
        <v>3.3827901279879122</v>
      </c>
      <c r="I21" s="17">
        <f t="shared" si="6"/>
        <v>4.0793082614669087</v>
      </c>
      <c r="J21" s="17">
        <f t="shared" si="6"/>
        <v>4.7338243598832079</v>
      </c>
      <c r="N21" s="7"/>
      <c r="O21" s="7"/>
      <c r="P21" s="7"/>
      <c r="Q21" s="7"/>
      <c r="R21" s="7"/>
      <c r="S21" s="7"/>
      <c r="T21" s="7"/>
      <c r="U21" s="7"/>
      <c r="V21" s="7"/>
      <c r="W21" s="7"/>
    </row>
    <row r="22" spans="1:39" x14ac:dyDescent="0.3">
      <c r="A22" s="1" t="s">
        <v>37</v>
      </c>
      <c r="B22" s="5">
        <f t="shared" ref="B22:J22" si="7">B6/B4</f>
        <v>0.1792166498627332</v>
      </c>
      <c r="C22" s="5">
        <f t="shared" si="7"/>
        <v>0.16063986096637525</v>
      </c>
      <c r="D22" s="5">
        <f t="shared" si="7"/>
        <v>0.1647295455015369</v>
      </c>
      <c r="E22" s="5">
        <f t="shared" si="7"/>
        <v>0.17728483909788456</v>
      </c>
      <c r="F22" s="5">
        <f t="shared" si="7"/>
        <v>0.16945771276780905</v>
      </c>
      <c r="G22" s="5">
        <f t="shared" si="7"/>
        <v>0.15313832563666843</v>
      </c>
      <c r="H22" s="5">
        <f t="shared" si="7"/>
        <v>0.15625019423302297</v>
      </c>
      <c r="I22" s="5">
        <f t="shared" si="7"/>
        <v>0.14516602911707061</v>
      </c>
      <c r="J22" s="5">
        <f t="shared" si="7"/>
        <v>0.12741769971664052</v>
      </c>
    </row>
    <row r="23" spans="1:39" x14ac:dyDescent="0.3">
      <c r="A23" s="1" t="s">
        <v>38</v>
      </c>
      <c r="B23" s="5">
        <f t="shared" ref="B23:J23" si="8">B10/B4</f>
        <v>7.074529279736301E-2</v>
      </c>
      <c r="C23" s="5">
        <f t="shared" si="8"/>
        <v>6.4829613173397124E-2</v>
      </c>
      <c r="D23" s="5">
        <f t="shared" si="8"/>
        <v>5.1398022009713558E-2</v>
      </c>
      <c r="E23" s="5">
        <f t="shared" si="8"/>
        <v>9.360747995176022E-2</v>
      </c>
      <c r="F23" s="5">
        <f t="shared" si="8"/>
        <v>9.2495415676917478E-2</v>
      </c>
      <c r="G23" s="5">
        <f t="shared" si="8"/>
        <v>8.1048691338764717E-2</v>
      </c>
      <c r="H23" s="5">
        <f t="shared" si="8"/>
        <v>8.4229279911712848E-2</v>
      </c>
      <c r="I23" s="5">
        <f t="shared" si="8"/>
        <v>7.5536400519991678E-2</v>
      </c>
      <c r="J23" s="5">
        <f t="shared" si="8"/>
        <v>6.5997399553898911E-2</v>
      </c>
    </row>
    <row r="24" spans="1:39" x14ac:dyDescent="0.3">
      <c r="A24" s="1" t="s">
        <v>39</v>
      </c>
      <c r="B24" s="5">
        <f t="shared" ref="B24:J24" si="9">B12/B4</f>
        <v>6.0400100383321574E-2</v>
      </c>
      <c r="C24" s="5">
        <f t="shared" si="9"/>
        <v>5.4916173575396597E-2</v>
      </c>
      <c r="D24" s="5">
        <f t="shared" si="9"/>
        <v>3.9230597169826797E-2</v>
      </c>
      <c r="E24" s="5">
        <f t="shared" si="9"/>
        <v>6.9903793431054823E-2</v>
      </c>
      <c r="F24" s="5">
        <f t="shared" si="9"/>
        <v>6.8739660274801398E-2</v>
      </c>
      <c r="G24" s="5">
        <f t="shared" si="9"/>
        <v>6.1114805986294048E-2</v>
      </c>
      <c r="H24" s="5">
        <f t="shared" si="9"/>
        <v>6.8426308509029296E-2</v>
      </c>
      <c r="I24" s="5">
        <f t="shared" si="9"/>
        <v>6.2459627121399824E-2</v>
      </c>
      <c r="J24" s="5">
        <f t="shared" si="9"/>
        <v>5.4622123109194433E-2</v>
      </c>
    </row>
    <row r="25" spans="1:39" x14ac:dyDescent="0.3">
      <c r="A25" s="1" t="s">
        <v>40</v>
      </c>
      <c r="B25" s="5">
        <f t="shared" ref="B25:J25" si="10">B16/B4</f>
        <v>1.5273901443697117E-2</v>
      </c>
      <c r="C25" s="5">
        <f t="shared" si="10"/>
        <v>1.667041657140449E-2</v>
      </c>
      <c r="D25" s="5">
        <f t="shared" si="10"/>
        <v>6.032894540750058E-3</v>
      </c>
      <c r="E25" s="5">
        <f t="shared" si="10"/>
        <v>1.992792090979319E-2</v>
      </c>
      <c r="F25" s="5">
        <f t="shared" si="10"/>
        <v>1.8869951562410215E-2</v>
      </c>
      <c r="G25" s="5">
        <f t="shared" si="10"/>
        <v>2.3649507784101426E-2</v>
      </c>
      <c r="H25" s="5">
        <f t="shared" si="10"/>
        <v>3.365074174570077E-2</v>
      </c>
      <c r="I25" s="5">
        <f t="shared" si="10"/>
        <v>3.5105704947922672E-2</v>
      </c>
      <c r="J25" s="5">
        <f t="shared" si="10"/>
        <v>3.1826558055178686E-2</v>
      </c>
    </row>
    <row r="26" spans="1:39" x14ac:dyDescent="0.3">
      <c r="A26" s="1" t="s">
        <v>42</v>
      </c>
      <c r="B26" s="15">
        <v>0</v>
      </c>
      <c r="C26" s="15">
        <f t="shared" ref="C26:J26" si="11">C17/B17-1</f>
        <v>0.20588235294117641</v>
      </c>
      <c r="D26" s="15">
        <f t="shared" si="11"/>
        <v>-0.6707317073170731</v>
      </c>
      <c r="E26" s="15">
        <f t="shared" si="11"/>
        <v>2.4444444444444442</v>
      </c>
      <c r="F26" s="15">
        <f t="shared" si="11"/>
        <v>-0.12365591397849474</v>
      </c>
      <c r="G26" s="15">
        <f t="shared" si="11"/>
        <v>0.27607361963190202</v>
      </c>
      <c r="H26" s="15">
        <f t="shared" si="11"/>
        <v>0.81730769230769207</v>
      </c>
      <c r="I26" s="15">
        <f t="shared" si="11"/>
        <v>0.42328042328042326</v>
      </c>
      <c r="J26" s="15">
        <f t="shared" si="11"/>
        <v>0.24163568773234201</v>
      </c>
    </row>
    <row r="30" spans="1:39" x14ac:dyDescent="0.3">
      <c r="A30" s="30" t="s">
        <v>1</v>
      </c>
      <c r="B30" s="31" t="s">
        <v>14</v>
      </c>
      <c r="C30" s="31" t="s">
        <v>69</v>
      </c>
      <c r="D30" s="31" t="s">
        <v>21</v>
      </c>
      <c r="E30" s="31" t="s">
        <v>22</v>
      </c>
      <c r="F30" s="31" t="s">
        <v>24</v>
      </c>
      <c r="G30" s="31" t="s">
        <v>26</v>
      </c>
      <c r="H30" s="32" t="s">
        <v>27</v>
      </c>
      <c r="J30" s="55" t="s">
        <v>1</v>
      </c>
      <c r="K30" s="55" t="s">
        <v>14</v>
      </c>
      <c r="L30" s="55" t="s">
        <v>70</v>
      </c>
      <c r="M30" s="55" t="s">
        <v>21</v>
      </c>
      <c r="N30" s="55" t="s">
        <v>22</v>
      </c>
      <c r="O30" s="55" t="s">
        <v>24</v>
      </c>
      <c r="P30" s="55" t="s">
        <v>26</v>
      </c>
      <c r="Q30" s="55" t="s">
        <v>27</v>
      </c>
      <c r="R30" s="55" t="s">
        <v>71</v>
      </c>
      <c r="S30" s="55" t="s">
        <v>36</v>
      </c>
      <c r="T30" s="55" t="s">
        <v>37</v>
      </c>
      <c r="U30" s="55" t="s">
        <v>38</v>
      </c>
      <c r="V30" s="55" t="s">
        <v>39</v>
      </c>
      <c r="W30" s="55" t="s">
        <v>72</v>
      </c>
      <c r="X30" s="55" t="s">
        <v>40</v>
      </c>
      <c r="Y30" s="55" t="s">
        <v>42</v>
      </c>
      <c r="Z30" s="55" t="s">
        <v>28</v>
      </c>
      <c r="AA30" s="55" t="s">
        <v>29</v>
      </c>
      <c r="AB30" s="55" t="s">
        <v>30</v>
      </c>
      <c r="AC30" s="56" t="s">
        <v>33</v>
      </c>
      <c r="AD30" s="56" t="s">
        <v>34</v>
      </c>
      <c r="AE30" s="56" t="s">
        <v>35</v>
      </c>
      <c r="AF30" s="56" t="s">
        <v>51</v>
      </c>
      <c r="AG30" s="56" t="s">
        <v>82</v>
      </c>
      <c r="AH30" s="56" t="s">
        <v>85</v>
      </c>
      <c r="AI30" s="56" t="s">
        <v>88</v>
      </c>
      <c r="AJ30" s="56" t="s">
        <v>89</v>
      </c>
      <c r="AK30" s="56" t="s">
        <v>90</v>
      </c>
      <c r="AL30" s="56" t="s">
        <v>103</v>
      </c>
      <c r="AM30" s="56" t="s">
        <v>104</v>
      </c>
    </row>
    <row r="31" spans="1:39" x14ac:dyDescent="0.3">
      <c r="A31" s="22">
        <v>17</v>
      </c>
      <c r="B31" s="23">
        <f>75552.29-599.6</f>
        <v>74952.689999999988</v>
      </c>
      <c r="C31" s="23">
        <v>13432.77</v>
      </c>
      <c r="D31" s="23">
        <v>5302.55</v>
      </c>
      <c r="E31" s="24">
        <v>4527.1499999999996</v>
      </c>
      <c r="F31" s="23">
        <v>1389</v>
      </c>
      <c r="G31" s="23">
        <v>1144.82</v>
      </c>
      <c r="H31" s="25">
        <v>1.36</v>
      </c>
      <c r="J31" s="2">
        <f>SOPL!$A31</f>
        <v>17</v>
      </c>
      <c r="K31" s="49">
        <f>B31</f>
        <v>74952.689999999988</v>
      </c>
      <c r="L31" s="49">
        <f t="shared" ref="L31:Q31" si="12">C31</f>
        <v>13432.77</v>
      </c>
      <c r="M31" s="49">
        <f t="shared" si="12"/>
        <v>5302.55</v>
      </c>
      <c r="N31" s="49">
        <f t="shared" si="12"/>
        <v>4527.1499999999996</v>
      </c>
      <c r="O31" s="49">
        <f t="shared" si="12"/>
        <v>1389</v>
      </c>
      <c r="P31" s="49">
        <f t="shared" si="12"/>
        <v>1144.82</v>
      </c>
      <c r="Q31" s="49">
        <f t="shared" si="12"/>
        <v>1.36</v>
      </c>
      <c r="R31" s="50">
        <v>0</v>
      </c>
      <c r="S31" s="17">
        <f t="shared" ref="S31:S39" si="13">C44</f>
        <v>1.4426174657043105</v>
      </c>
      <c r="T31" s="66">
        <f t="shared" ref="T31:T39" si="14">L31/$K31</f>
        <v>0.17921664986273345</v>
      </c>
      <c r="U31" s="66">
        <f t="shared" ref="U31:U39" si="15">M31/$K31</f>
        <v>7.074529279736326E-2</v>
      </c>
      <c r="V31" s="66">
        <f t="shared" ref="V31:V39" si="16">N31/$K31</f>
        <v>6.0400100383321803E-2</v>
      </c>
      <c r="W31" s="66">
        <f t="shared" ref="W31:W39" si="17">O31/$K31</f>
        <v>1.8531689789919484E-2</v>
      </c>
      <c r="X31" s="66">
        <f t="shared" ref="X31:X39" si="18">P31/$K31</f>
        <v>1.5273901443697353E-2</v>
      </c>
      <c r="Y31" s="50">
        <v>0</v>
      </c>
      <c r="Z31" s="49">
        <v>498.64</v>
      </c>
      <c r="AA31" s="49">
        <v>-1150.55</v>
      </c>
      <c r="AB31" s="49">
        <v>702.56</v>
      </c>
      <c r="AC31" s="49">
        <f>SOFP!B21</f>
        <v>1.1211781065321422</v>
      </c>
      <c r="AD31" s="49">
        <f>SOFP!B22</f>
        <v>0.21636080183380751</v>
      </c>
      <c r="AE31" s="52">
        <f>SOFP!B23</f>
        <v>0.17685092647614931</v>
      </c>
      <c r="AF31" s="53">
        <f>SOFP!B32+SOFP!B33-SOFP!B34</f>
        <v>165.14029163720323</v>
      </c>
      <c r="AG31">
        <v>0</v>
      </c>
      <c r="AH31">
        <v>0</v>
      </c>
      <c r="AI31">
        <v>0</v>
      </c>
      <c r="AJ31">
        <v>0</v>
      </c>
      <c r="AK31">
        <v>0</v>
      </c>
      <c r="AL31" s="54">
        <f>SOPL!N31/(SOFP!G41-SOFP!O41)</f>
        <v>0.25857002434829884</v>
      </c>
      <c r="AM31" s="54">
        <f>SOPL!O31/SOFP!I41</f>
        <v>9.379558100588839E-2</v>
      </c>
    </row>
    <row r="32" spans="1:39" x14ac:dyDescent="0.3">
      <c r="A32" s="22">
        <f t="shared" ref="A32:A39" si="19">A31+1</f>
        <v>18</v>
      </c>
      <c r="B32" s="23">
        <f>82754.75-219.32</f>
        <v>82535.429999999993</v>
      </c>
      <c r="C32" s="23">
        <v>13258.48</v>
      </c>
      <c r="D32" s="23">
        <v>5350.74</v>
      </c>
      <c r="E32" s="24">
        <v>4532.53</v>
      </c>
      <c r="F32" s="23">
        <v>2195.42</v>
      </c>
      <c r="G32" s="23">
        <v>1375.9</v>
      </c>
      <c r="H32" s="25">
        <v>1.64</v>
      </c>
      <c r="J32" s="2">
        <f>SOPL!$A32</f>
        <v>18</v>
      </c>
      <c r="K32" s="49">
        <f t="shared" ref="K32:K39" si="20">B32</f>
        <v>82535.429999999993</v>
      </c>
      <c r="L32" s="49">
        <f t="shared" ref="L32:L39" si="21">C32</f>
        <v>13258.48</v>
      </c>
      <c r="M32" s="49">
        <f t="shared" ref="M32:M39" si="22">D32</f>
        <v>5350.74</v>
      </c>
      <c r="N32" s="49">
        <f t="shared" ref="N32:N39" si="23">E32</f>
        <v>4532.53</v>
      </c>
      <c r="O32" s="49">
        <f t="shared" ref="O32:O39" si="24">F32</f>
        <v>2195.42</v>
      </c>
      <c r="P32" s="49">
        <f t="shared" ref="P32:P39" si="25">G32</f>
        <v>1375.9</v>
      </c>
      <c r="Q32" s="49">
        <f t="shared" ref="Q32:Q39" si="26">H32</f>
        <v>1.64</v>
      </c>
      <c r="R32" s="51">
        <f t="shared" ref="R32:R39" si="27">K32/K31-1</f>
        <v>0.10116701615378987</v>
      </c>
      <c r="S32" s="17">
        <f t="shared" si="13"/>
        <v>1.9393738420527895</v>
      </c>
      <c r="T32" s="66">
        <f t="shared" si="14"/>
        <v>0.16063986096637531</v>
      </c>
      <c r="U32" s="66">
        <f t="shared" si="15"/>
        <v>6.482961317339718E-2</v>
      </c>
      <c r="V32" s="66">
        <f t="shared" si="16"/>
        <v>5.4916173575396653E-2</v>
      </c>
      <c r="W32" s="66">
        <f t="shared" si="17"/>
        <v>2.6599728140993515E-2</v>
      </c>
      <c r="X32" s="66">
        <f t="shared" si="18"/>
        <v>1.6670416571404549E-2</v>
      </c>
      <c r="Y32" s="51">
        <f t="shared" ref="Y32:Y39" si="28">Q32/Q31-1</f>
        <v>0.20588235294117641</v>
      </c>
      <c r="Z32" s="49">
        <v>9690.59</v>
      </c>
      <c r="AA32" s="49">
        <v>-2979.84</v>
      </c>
      <c r="AB32" s="49">
        <v>-6194.19</v>
      </c>
      <c r="AC32" s="49">
        <f>SOFP!C21</f>
        <v>1.1834953339659358</v>
      </c>
      <c r="AD32" s="49">
        <f>SOFP!C22</f>
        <v>0.27572933415192363</v>
      </c>
      <c r="AE32" s="52">
        <f>SOFP!C23</f>
        <v>7.9212209020053853E-2</v>
      </c>
      <c r="AF32" s="53">
        <f>SOFP!C35</f>
        <v>114.90037227221224</v>
      </c>
      <c r="AG32" s="54">
        <f t="shared" ref="AG32:AH39" si="29">L32/L31-1</f>
        <v>-1.2974985799652727E-2</v>
      </c>
      <c r="AH32" s="54">
        <f t="shared" si="29"/>
        <v>9.0880802632695712E-3</v>
      </c>
      <c r="AI32" s="54">
        <f t="shared" ref="AI32:AI39" si="30">N32/N31-1</f>
        <v>1.1883856289276462E-3</v>
      </c>
      <c r="AJ32" s="54">
        <f t="shared" ref="AJ32:AJ39" si="31">O32/O31-1</f>
        <v>0.58057595392368611</v>
      </c>
      <c r="AK32" s="54">
        <f t="shared" ref="AK32:AK39" si="32">P32/P31-1</f>
        <v>0.20184832550095222</v>
      </c>
      <c r="AL32" s="54">
        <f>SOPL!N32/(SOFP!G42-SOFP!O42)</f>
        <v>0.19986074879930016</v>
      </c>
      <c r="AM32" s="54">
        <f>SOPL!O32/SOFP!I42</f>
        <v>0.10553391869818651</v>
      </c>
    </row>
    <row r="33" spans="1:42" x14ac:dyDescent="0.3">
      <c r="A33" s="22">
        <f t="shared" si="19"/>
        <v>19</v>
      </c>
      <c r="B33" s="23">
        <v>74481.66</v>
      </c>
      <c r="C33" s="23">
        <v>12269.33</v>
      </c>
      <c r="D33" s="23">
        <v>3828.21</v>
      </c>
      <c r="E33" s="24">
        <v>2921.96</v>
      </c>
      <c r="F33" s="23">
        <v>644.36</v>
      </c>
      <c r="G33" s="23">
        <v>449.34</v>
      </c>
      <c r="H33" s="25">
        <v>0.54</v>
      </c>
      <c r="I33" s="2"/>
      <c r="J33" s="2">
        <f>SOPL!$A33</f>
        <v>19</v>
      </c>
      <c r="K33" s="49">
        <f t="shared" si="20"/>
        <v>74481.66</v>
      </c>
      <c r="L33" s="49">
        <f t="shared" si="21"/>
        <v>12269.33</v>
      </c>
      <c r="M33" s="49">
        <f t="shared" si="22"/>
        <v>3828.21</v>
      </c>
      <c r="N33" s="49">
        <f t="shared" si="23"/>
        <v>2921.96</v>
      </c>
      <c r="O33" s="49">
        <f t="shared" si="24"/>
        <v>644.36</v>
      </c>
      <c r="P33" s="49">
        <f t="shared" si="25"/>
        <v>449.34</v>
      </c>
      <c r="Q33" s="49">
        <f t="shared" si="26"/>
        <v>0.54</v>
      </c>
      <c r="R33" s="51">
        <f t="shared" si="27"/>
        <v>-9.7579548564779905E-2</v>
      </c>
      <c r="S33" s="17">
        <f t="shared" si="13"/>
        <v>1.282911837021427</v>
      </c>
      <c r="T33" s="66">
        <f t="shared" si="14"/>
        <v>0.16472954550153687</v>
      </c>
      <c r="U33" s="66">
        <f t="shared" si="15"/>
        <v>5.139802200971353E-2</v>
      </c>
      <c r="V33" s="66">
        <f t="shared" si="16"/>
        <v>3.923059716982677E-2</v>
      </c>
      <c r="W33" s="66">
        <f t="shared" si="17"/>
        <v>8.6512572356738562E-3</v>
      </c>
      <c r="X33" s="66">
        <f t="shared" si="18"/>
        <v>6.0328945407500311E-3</v>
      </c>
      <c r="Y33" s="51">
        <f t="shared" si="28"/>
        <v>-0.6707317073170731</v>
      </c>
      <c r="Z33" s="49">
        <v>-263.39</v>
      </c>
      <c r="AA33" s="49">
        <v>1434.64</v>
      </c>
      <c r="AB33" s="49">
        <v>-1418.2</v>
      </c>
      <c r="AC33" s="49">
        <f>SOFP!D21</f>
        <v>1.1940639071507391</v>
      </c>
      <c r="AD33" s="49">
        <f>SOFP!D22</f>
        <v>0.25935740876889263</v>
      </c>
      <c r="AE33" s="52">
        <f>SOFP!D23</f>
        <v>3.7605496101031602E-2</v>
      </c>
      <c r="AF33" s="53">
        <f>SOFP!D35</f>
        <v>190.84931824163289</v>
      </c>
      <c r="AG33" s="54">
        <f t="shared" si="29"/>
        <v>-7.460508293560042E-2</v>
      </c>
      <c r="AH33" s="54">
        <f>M33/M32-1</f>
        <v>-0.28454568900750177</v>
      </c>
      <c r="AI33" s="54">
        <f t="shared" si="30"/>
        <v>-0.3553357617048315</v>
      </c>
      <c r="AJ33" s="54">
        <f t="shared" si="31"/>
        <v>-0.70649807326160818</v>
      </c>
      <c r="AK33" s="54">
        <f t="shared" si="32"/>
        <v>-0.67342103350534199</v>
      </c>
      <c r="AL33" s="54">
        <f>SOPL!N33/(SOFP!G43-SOFP!O43)</f>
        <v>0.13061957979436742</v>
      </c>
      <c r="AM33" s="54">
        <f>SOPL!O33/SOFP!I43</f>
        <v>3.0316631803198782E-2</v>
      </c>
    </row>
    <row r="34" spans="1:42" x14ac:dyDescent="0.3">
      <c r="A34" s="22">
        <f t="shared" si="19"/>
        <v>20</v>
      </c>
      <c r="B34" s="23">
        <v>78458.259999999995</v>
      </c>
      <c r="C34" s="23">
        <v>13909.46</v>
      </c>
      <c r="D34" s="23">
        <v>7344.28</v>
      </c>
      <c r="E34" s="24">
        <v>5484.53</v>
      </c>
      <c r="F34" s="23">
        <v>2353.2600000000002</v>
      </c>
      <c r="G34" s="23">
        <v>1563.51</v>
      </c>
      <c r="H34" s="25">
        <v>1.86</v>
      </c>
      <c r="I34" s="16"/>
      <c r="J34" s="2">
        <f>SOPL!$A34</f>
        <v>20</v>
      </c>
      <c r="K34" s="49">
        <f t="shared" si="20"/>
        <v>78458.259999999995</v>
      </c>
      <c r="L34" s="49">
        <f t="shared" si="21"/>
        <v>13909.46</v>
      </c>
      <c r="M34" s="49">
        <f t="shared" si="22"/>
        <v>7344.28</v>
      </c>
      <c r="N34" s="49">
        <f t="shared" si="23"/>
        <v>5484.53</v>
      </c>
      <c r="O34" s="49">
        <f t="shared" si="24"/>
        <v>2353.2600000000002</v>
      </c>
      <c r="P34" s="49">
        <f t="shared" si="25"/>
        <v>1563.51</v>
      </c>
      <c r="Q34" s="49">
        <f t="shared" si="26"/>
        <v>1.86</v>
      </c>
      <c r="R34" s="51">
        <f t="shared" si="27"/>
        <v>5.3390324544323908E-2</v>
      </c>
      <c r="S34" s="17">
        <f t="shared" si="13"/>
        <v>1.7515353195348822</v>
      </c>
      <c r="T34" s="66">
        <f t="shared" si="14"/>
        <v>0.17728483909788467</v>
      </c>
      <c r="U34" s="66">
        <f t="shared" si="15"/>
        <v>9.3607479951760345E-2</v>
      </c>
      <c r="V34" s="66">
        <f t="shared" si="16"/>
        <v>6.9903793431054934E-2</v>
      </c>
      <c r="W34" s="66">
        <f t="shared" si="17"/>
        <v>2.9993782681390083E-2</v>
      </c>
      <c r="X34" s="66">
        <f t="shared" si="18"/>
        <v>1.9927920909793312E-2</v>
      </c>
      <c r="Y34" s="51">
        <f t="shared" si="28"/>
        <v>2.4444444444444442</v>
      </c>
      <c r="Z34" s="49">
        <v>1561.58</v>
      </c>
      <c r="AA34" s="49">
        <v>38.630000000000003</v>
      </c>
      <c r="AB34" s="49">
        <v>-1257.67</v>
      </c>
      <c r="AC34" s="49">
        <f>SOFP!E21</f>
        <v>1.2275499872922491</v>
      </c>
      <c r="AD34" s="49">
        <f>SOFP!E22</f>
        <v>0.280787130589848</v>
      </c>
      <c r="AE34" s="52">
        <f>SOFP!E23</f>
        <v>0.31796585657536719</v>
      </c>
      <c r="AF34" s="53">
        <f>SOFP!E35</f>
        <v>188.86174915611815</v>
      </c>
      <c r="AG34" s="54">
        <f t="shared" si="29"/>
        <v>0.13367722605879861</v>
      </c>
      <c r="AH34" s="54">
        <f t="shared" si="29"/>
        <v>0.91846319820490518</v>
      </c>
      <c r="AI34" s="54">
        <f t="shared" si="30"/>
        <v>0.87700379197524936</v>
      </c>
      <c r="AJ34" s="54">
        <f t="shared" si="31"/>
        <v>2.6520888944068535</v>
      </c>
      <c r="AK34" s="54">
        <f t="shared" si="32"/>
        <v>2.4795700360528778</v>
      </c>
      <c r="AL34" s="54">
        <f>SOPL!N34/(SOFP!G44-SOFP!O44)</f>
        <v>0.19128535943454197</v>
      </c>
      <c r="AM34" s="54">
        <f>SOPL!O34/SOFP!I44</f>
        <v>0.10908003726759898</v>
      </c>
    </row>
    <row r="35" spans="1:42" x14ac:dyDescent="0.3">
      <c r="A35" s="22">
        <f t="shared" si="19"/>
        <v>21</v>
      </c>
      <c r="B35" s="23">
        <v>73255.09</v>
      </c>
      <c r="C35" s="23">
        <v>12413.64</v>
      </c>
      <c r="D35" s="23">
        <v>6775.76</v>
      </c>
      <c r="E35" s="24">
        <v>5035.53</v>
      </c>
      <c r="F35" s="23">
        <v>1874.85</v>
      </c>
      <c r="G35" s="23">
        <v>1382.32</v>
      </c>
      <c r="H35" s="25">
        <v>1.63</v>
      </c>
      <c r="I35" s="16"/>
      <c r="J35" s="2">
        <f>SOPL!$A35</f>
        <v>21</v>
      </c>
      <c r="K35" s="49">
        <f t="shared" si="20"/>
        <v>73255.09</v>
      </c>
      <c r="L35" s="49">
        <f t="shared" si="21"/>
        <v>12413.64</v>
      </c>
      <c r="M35" s="49">
        <f t="shared" si="22"/>
        <v>6775.76</v>
      </c>
      <c r="N35" s="49">
        <f t="shared" si="23"/>
        <v>5035.53</v>
      </c>
      <c r="O35" s="49">
        <f t="shared" si="24"/>
        <v>1874.85</v>
      </c>
      <c r="P35" s="49">
        <f t="shared" si="25"/>
        <v>1382.32</v>
      </c>
      <c r="Q35" s="49">
        <f t="shared" si="26"/>
        <v>1.63</v>
      </c>
      <c r="R35" s="51">
        <f t="shared" si="27"/>
        <v>-6.6317682803569644E-2</v>
      </c>
      <c r="S35" s="17">
        <f t="shared" si="13"/>
        <v>1.5931793158434264</v>
      </c>
      <c r="T35" s="66">
        <f t="shared" si="14"/>
        <v>0.16945771276780905</v>
      </c>
      <c r="U35" s="66">
        <f t="shared" si="15"/>
        <v>9.2495415676917478E-2</v>
      </c>
      <c r="V35" s="66">
        <f t="shared" si="16"/>
        <v>6.8739660274801384E-2</v>
      </c>
      <c r="W35" s="66">
        <f t="shared" si="17"/>
        <v>2.5593443404410533E-2</v>
      </c>
      <c r="X35" s="66">
        <f t="shared" si="18"/>
        <v>1.8869951562410201E-2</v>
      </c>
      <c r="Y35" s="51">
        <f t="shared" si="28"/>
        <v>-0.12365591397849474</v>
      </c>
      <c r="Z35" s="49">
        <v>5159.1400000000003</v>
      </c>
      <c r="AA35" s="49">
        <v>-3099.35</v>
      </c>
      <c r="AB35" s="49">
        <v>-225.07</v>
      </c>
      <c r="AC35" s="49">
        <f>SOFP!F21</f>
        <v>1.2931956589539382</v>
      </c>
      <c r="AD35" s="49">
        <f>SOFP!F22</f>
        <v>0.25796441157555666</v>
      </c>
      <c r="AE35" s="52">
        <f>SOFP!F23</f>
        <v>0.20511441611291947</v>
      </c>
      <c r="AF35" s="53">
        <f>SOFP!F35</f>
        <v>232.62413537996255</v>
      </c>
      <c r="AG35" s="54">
        <f t="shared" si="29"/>
        <v>-0.10753976070961779</v>
      </c>
      <c r="AH35" s="54">
        <f t="shared" si="29"/>
        <v>-7.7409902672555986E-2</v>
      </c>
      <c r="AI35" s="54">
        <f t="shared" si="30"/>
        <v>-8.186663214532508E-2</v>
      </c>
      <c r="AJ35" s="54">
        <f t="shared" si="31"/>
        <v>-0.20329670329670346</v>
      </c>
      <c r="AK35" s="54">
        <f t="shared" si="32"/>
        <v>-0.11588669084303904</v>
      </c>
      <c r="AL35" s="54">
        <f>SOPL!N35/(SOFP!G45-SOFP!O45)</f>
        <v>0.13707191312379188</v>
      </c>
      <c r="AM35" s="54">
        <f>SOPL!O35/SOFP!I45</f>
        <v>6.1969334789426227E-2</v>
      </c>
    </row>
    <row r="36" spans="1:42" x14ac:dyDescent="0.3">
      <c r="A36" s="22">
        <f t="shared" si="19"/>
        <v>22</v>
      </c>
      <c r="B36" s="23">
        <v>90560.87</v>
      </c>
      <c r="C36" s="23">
        <v>13868.34</v>
      </c>
      <c r="D36" s="23">
        <v>7339.84</v>
      </c>
      <c r="E36" s="24">
        <v>5534.61</v>
      </c>
      <c r="F36" s="23">
        <v>2898.57</v>
      </c>
      <c r="G36" s="23">
        <v>2141.7199999999998</v>
      </c>
      <c r="H36" s="25">
        <v>2.08</v>
      </c>
      <c r="I36" s="16"/>
      <c r="J36" s="2">
        <f>SOPL!$A36</f>
        <v>22</v>
      </c>
      <c r="K36" s="49">
        <f t="shared" si="20"/>
        <v>90560.87</v>
      </c>
      <c r="L36" s="49">
        <f t="shared" si="21"/>
        <v>13868.34</v>
      </c>
      <c r="M36" s="49">
        <f t="shared" si="22"/>
        <v>7339.84</v>
      </c>
      <c r="N36" s="49">
        <f t="shared" si="23"/>
        <v>5534.61</v>
      </c>
      <c r="O36" s="49">
        <f t="shared" si="24"/>
        <v>2898.57</v>
      </c>
      <c r="P36" s="49">
        <f t="shared" si="25"/>
        <v>2141.7199999999998</v>
      </c>
      <c r="Q36" s="49">
        <f t="shared" si="26"/>
        <v>2.08</v>
      </c>
      <c r="R36" s="51">
        <f t="shared" si="27"/>
        <v>0.23623996639687417</v>
      </c>
      <c r="S36" s="17">
        <f t="shared" si="13"/>
        <v>2.0995925706741918</v>
      </c>
      <c r="T36" s="66">
        <f t="shared" si="14"/>
        <v>0.15313832563666846</v>
      </c>
      <c r="U36" s="66">
        <f t="shared" si="15"/>
        <v>8.1048691338764745E-2</v>
      </c>
      <c r="V36" s="66">
        <f t="shared" si="16"/>
        <v>6.1114805986294082E-2</v>
      </c>
      <c r="W36" s="66">
        <f t="shared" si="17"/>
        <v>3.2006870075342697E-2</v>
      </c>
      <c r="X36" s="66">
        <f t="shared" si="18"/>
        <v>2.3649507784101454E-2</v>
      </c>
      <c r="Y36" s="51">
        <f t="shared" si="28"/>
        <v>0.27607361963190202</v>
      </c>
      <c r="Z36" s="49">
        <v>1086.08</v>
      </c>
      <c r="AA36" s="49">
        <v>1439.7</v>
      </c>
      <c r="AB36" s="49">
        <v>-4737.4799999999996</v>
      </c>
      <c r="AC36" s="49">
        <f>SOFP!G21</f>
        <v>1.3544523730263924</v>
      </c>
      <c r="AD36" s="49">
        <f>SOFP!G22</f>
        <v>0.1429595485745912</v>
      </c>
      <c r="AE36" s="52">
        <f>SOFP!G23</f>
        <v>0.16796213456667067</v>
      </c>
      <c r="AF36" s="53">
        <f>SOFP!G35</f>
        <v>203.84831278395978</v>
      </c>
      <c r="AG36" s="54">
        <f t="shared" si="29"/>
        <v>0.11718561195588095</v>
      </c>
      <c r="AH36" s="54">
        <f t="shared" si="29"/>
        <v>8.3249701878460813E-2</v>
      </c>
      <c r="AI36" s="54">
        <f t="shared" si="30"/>
        <v>9.9111712173296507E-2</v>
      </c>
      <c r="AJ36" s="54">
        <f t="shared" si="31"/>
        <v>0.54602768221457731</v>
      </c>
      <c r="AK36" s="54">
        <f t="shared" si="32"/>
        <v>0.54936628277099353</v>
      </c>
      <c r="AL36" s="54">
        <f>SOPL!N36/(SOFP!G46-SOFP!O46)</f>
        <v>0.14417803999392506</v>
      </c>
      <c r="AM36" s="54">
        <f>SOPL!O36/SOFP!I46</f>
        <v>8.8816282356949799E-2</v>
      </c>
    </row>
    <row r="37" spans="1:42" x14ac:dyDescent="0.3">
      <c r="A37" s="22">
        <f t="shared" si="19"/>
        <v>23</v>
      </c>
      <c r="B37" s="23">
        <v>115840.24</v>
      </c>
      <c r="C37" s="23">
        <v>18100.060000000001</v>
      </c>
      <c r="D37" s="23">
        <v>9757.14</v>
      </c>
      <c r="E37" s="24">
        <v>7926.52</v>
      </c>
      <c r="F37" s="23">
        <v>5583.33</v>
      </c>
      <c r="G37" s="23">
        <v>3898.11</v>
      </c>
      <c r="H37" s="25">
        <v>3.78</v>
      </c>
      <c r="I37" s="16"/>
      <c r="J37" s="2">
        <f>SOPL!$A37</f>
        <v>23</v>
      </c>
      <c r="K37" s="49">
        <f t="shared" si="20"/>
        <v>115840.24</v>
      </c>
      <c r="L37" s="49">
        <f t="shared" si="21"/>
        <v>18100.060000000001</v>
      </c>
      <c r="M37" s="49">
        <f t="shared" si="22"/>
        <v>9757.14</v>
      </c>
      <c r="N37" s="49">
        <f t="shared" si="23"/>
        <v>7926.52</v>
      </c>
      <c r="O37" s="49">
        <f t="shared" si="24"/>
        <v>5583.33</v>
      </c>
      <c r="P37" s="49">
        <f t="shared" si="25"/>
        <v>3898.11</v>
      </c>
      <c r="Q37" s="49">
        <f t="shared" si="26"/>
        <v>3.78</v>
      </c>
      <c r="R37" s="51">
        <f t="shared" si="27"/>
        <v>0.27914230505956938</v>
      </c>
      <c r="S37" s="17">
        <f t="shared" si="13"/>
        <v>3.3827901279879122</v>
      </c>
      <c r="T37" s="66">
        <f t="shared" si="14"/>
        <v>0.156250194233023</v>
      </c>
      <c r="U37" s="66">
        <f t="shared" si="15"/>
        <v>8.4229279911712876E-2</v>
      </c>
      <c r="V37" s="66">
        <f t="shared" si="16"/>
        <v>6.8426308509029338E-2</v>
      </c>
      <c r="W37" s="66">
        <f t="shared" si="17"/>
        <v>4.8198536190878057E-2</v>
      </c>
      <c r="X37" s="66">
        <f t="shared" si="18"/>
        <v>3.3650741745700805E-2</v>
      </c>
      <c r="Y37" s="51">
        <f t="shared" si="28"/>
        <v>0.81730769230769207</v>
      </c>
      <c r="Z37" s="49">
        <v>7145.97</v>
      </c>
      <c r="AA37" s="49">
        <v>-3617.53</v>
      </c>
      <c r="AB37" s="49">
        <v>-3758.46</v>
      </c>
      <c r="AC37" s="49">
        <f>SOFP!H21</f>
        <v>1.3468403733854086</v>
      </c>
      <c r="AD37" s="49">
        <f>SOFP!H22</f>
        <v>0.17377700018805586</v>
      </c>
      <c r="AE37" s="52">
        <f>SOFP!H23</f>
        <v>0.17225500747009098</v>
      </c>
      <c r="AF37" s="53">
        <f>SOFP!H35</f>
        <v>184.09203912477645</v>
      </c>
      <c r="AG37" s="54">
        <f t="shared" si="29"/>
        <v>0.30513529376983839</v>
      </c>
      <c r="AH37" s="54">
        <f t="shared" si="29"/>
        <v>0.32933960413306007</v>
      </c>
      <c r="AI37" s="54">
        <f t="shared" si="30"/>
        <v>0.43217317932067489</v>
      </c>
      <c r="AJ37" s="54">
        <f t="shared" si="31"/>
        <v>0.92623604053033026</v>
      </c>
      <c r="AK37" s="54">
        <f t="shared" si="32"/>
        <v>0.82008385783389071</v>
      </c>
      <c r="AL37" s="54">
        <f>SOPL!N37/(SOFP!G47-SOFP!O47)</f>
        <v>0.18319669980985862</v>
      </c>
      <c r="AM37" s="54">
        <f>SOPL!O37/SOFP!I47</f>
        <v>0.15227449134380364</v>
      </c>
    </row>
    <row r="38" spans="1:42" x14ac:dyDescent="0.3">
      <c r="A38" s="22">
        <f t="shared" si="19"/>
        <v>24</v>
      </c>
      <c r="B38" s="23">
        <v>157825.63</v>
      </c>
      <c r="C38" s="23">
        <v>22910.92</v>
      </c>
      <c r="D38" s="23">
        <v>11921.58</v>
      </c>
      <c r="E38" s="24">
        <v>9857.73</v>
      </c>
      <c r="F38" s="23">
        <v>7441.21</v>
      </c>
      <c r="G38" s="23">
        <v>5540.58</v>
      </c>
      <c r="H38" s="25">
        <v>5.38</v>
      </c>
      <c r="I38" s="16"/>
      <c r="J38" s="2">
        <f>SOPL!$A38</f>
        <v>24</v>
      </c>
      <c r="K38" s="49">
        <f t="shared" si="20"/>
        <v>157825.63</v>
      </c>
      <c r="L38" s="49">
        <f t="shared" si="21"/>
        <v>22910.92</v>
      </c>
      <c r="M38" s="49">
        <f t="shared" si="22"/>
        <v>11921.58</v>
      </c>
      <c r="N38" s="49">
        <f t="shared" si="23"/>
        <v>9857.73</v>
      </c>
      <c r="O38" s="49">
        <f t="shared" si="24"/>
        <v>7441.21</v>
      </c>
      <c r="P38" s="49">
        <f t="shared" si="25"/>
        <v>5540.58</v>
      </c>
      <c r="Q38" s="49">
        <f t="shared" si="26"/>
        <v>5.38</v>
      </c>
      <c r="R38" s="51">
        <f t="shared" si="27"/>
        <v>0.36244218761977698</v>
      </c>
      <c r="S38" s="17">
        <f t="shared" si="13"/>
        <v>4.0793082614669087</v>
      </c>
      <c r="T38" s="66">
        <f t="shared" si="14"/>
        <v>0.14516602911707052</v>
      </c>
      <c r="U38" s="66">
        <f t="shared" si="15"/>
        <v>7.5536400519991581E-2</v>
      </c>
      <c r="V38" s="66">
        <f t="shared" si="16"/>
        <v>6.2459627121399734E-2</v>
      </c>
      <c r="W38" s="66">
        <f t="shared" si="17"/>
        <v>4.7148299043697779E-2</v>
      </c>
      <c r="X38" s="66">
        <f t="shared" si="18"/>
        <v>3.5105704947922589E-2</v>
      </c>
      <c r="Y38" s="51">
        <f t="shared" si="28"/>
        <v>0.42328042328042326</v>
      </c>
      <c r="Z38" s="49">
        <v>9855.6299999999992</v>
      </c>
      <c r="AA38" s="49">
        <v>-1163.6199999999999</v>
      </c>
      <c r="AB38" s="49">
        <v>-8327.49</v>
      </c>
      <c r="AC38" s="49">
        <f>SOFP!I21</f>
        <v>1.3341202684375526</v>
      </c>
      <c r="AD38" s="49">
        <f>SOFP!I22</f>
        <v>0.17005137989674962</v>
      </c>
      <c r="AE38" s="52">
        <f>SOFP!I23</f>
        <v>0.22487550846542437</v>
      </c>
      <c r="AF38" s="53">
        <f>SOFP!I35</f>
        <v>147.69691524402782</v>
      </c>
      <c r="AG38" s="54">
        <f t="shared" si="29"/>
        <v>0.26579248908567132</v>
      </c>
      <c r="AH38" s="54">
        <f t="shared" si="29"/>
        <v>0.22183139731519685</v>
      </c>
      <c r="AI38" s="54">
        <f t="shared" si="30"/>
        <v>0.24363907490298375</v>
      </c>
      <c r="AJ38" s="54">
        <f t="shared" si="31"/>
        <v>0.33275482552526903</v>
      </c>
      <c r="AK38" s="54">
        <f t="shared" si="32"/>
        <v>0.42135034670648075</v>
      </c>
      <c r="AL38" s="54">
        <f>SOPL!N38/(SOFP!G48-SOFP!O48)</f>
        <v>0.19186342873503101</v>
      </c>
      <c r="AM38" s="54">
        <f>SOPL!O38/SOFP!I48</f>
        <v>0.17857689677101957</v>
      </c>
    </row>
    <row r="39" spans="1:42" x14ac:dyDescent="0.3">
      <c r="A39" s="26">
        <f t="shared" si="19"/>
        <v>25</v>
      </c>
      <c r="B39" s="27">
        <v>216385.95</v>
      </c>
      <c r="C39" s="27">
        <v>27571.4</v>
      </c>
      <c r="D39" s="27">
        <v>14280.91</v>
      </c>
      <c r="E39" s="28">
        <v>11819.46</v>
      </c>
      <c r="F39" s="27">
        <v>9322.65</v>
      </c>
      <c r="G39" s="27">
        <v>6886.82</v>
      </c>
      <c r="H39" s="29">
        <v>6.68</v>
      </c>
      <c r="I39" s="16"/>
      <c r="J39" s="2">
        <f>SOPL!$A39</f>
        <v>25</v>
      </c>
      <c r="K39" s="49">
        <f t="shared" si="20"/>
        <v>216385.95</v>
      </c>
      <c r="L39" s="49">
        <f t="shared" si="21"/>
        <v>27571.4</v>
      </c>
      <c r="M39" s="49">
        <f t="shared" si="22"/>
        <v>14280.91</v>
      </c>
      <c r="N39" s="49">
        <f t="shared" si="23"/>
        <v>11819.46</v>
      </c>
      <c r="O39" s="49">
        <f t="shared" si="24"/>
        <v>9322.65</v>
      </c>
      <c r="P39" s="49">
        <f t="shared" si="25"/>
        <v>6886.82</v>
      </c>
      <c r="Q39" s="49">
        <f t="shared" si="26"/>
        <v>6.68</v>
      </c>
      <c r="R39" s="51">
        <f t="shared" si="27"/>
        <v>0.37104442415341543</v>
      </c>
      <c r="S39" s="17">
        <f t="shared" si="13"/>
        <v>4.7338243598832079</v>
      </c>
      <c r="T39" s="66">
        <f t="shared" si="14"/>
        <v>0.12741769971664058</v>
      </c>
      <c r="U39" s="66">
        <f t="shared" si="15"/>
        <v>6.5997399553898939E-2</v>
      </c>
      <c r="V39" s="66">
        <f t="shared" si="16"/>
        <v>5.4622123109194468E-2</v>
      </c>
      <c r="W39" s="66">
        <f t="shared" si="17"/>
        <v>4.3083434945753174E-2</v>
      </c>
      <c r="X39" s="66">
        <f t="shared" si="18"/>
        <v>3.1826558055178721E-2</v>
      </c>
      <c r="Y39" s="51">
        <f t="shared" si="28"/>
        <v>0.24163568773234201</v>
      </c>
      <c r="Z39" s="49">
        <v>9732.9599999999991</v>
      </c>
      <c r="AA39" s="49">
        <v>-2931.5</v>
      </c>
      <c r="AB39" s="49">
        <v>-5130.1099999999997</v>
      </c>
      <c r="AC39" s="49">
        <f>SOFP!J21</f>
        <v>1.3236986985667925</v>
      </c>
      <c r="AD39" s="49">
        <f>SOFP!J22</f>
        <v>0.18399488806035902</v>
      </c>
      <c r="AE39" s="52">
        <f>SOFP!J23</f>
        <v>0.25611930525837207</v>
      </c>
      <c r="AF39" s="53">
        <f>SOFP!J35</f>
        <v>116.30420202473532</v>
      </c>
      <c r="AG39" s="54">
        <f t="shared" si="29"/>
        <v>0.20341740968935351</v>
      </c>
      <c r="AH39" s="54">
        <f t="shared" si="29"/>
        <v>0.19790413686776409</v>
      </c>
      <c r="AI39" s="54">
        <f t="shared" si="30"/>
        <v>0.19900423322610772</v>
      </c>
      <c r="AJ39" s="54">
        <f t="shared" si="31"/>
        <v>0.25284059984868046</v>
      </c>
      <c r="AK39" s="54">
        <f t="shared" si="32"/>
        <v>0.24297817196033633</v>
      </c>
      <c r="AL39" s="54">
        <f>SOPL!N39/(SOFP!G49-SOFP!O49)</f>
        <v>0.19474847135237738</v>
      </c>
      <c r="AM39" s="54">
        <f>SOPL!O39/SOFP!I49</f>
        <v>0.19514646267796296</v>
      </c>
      <c r="AP39" s="44"/>
    </row>
    <row r="40" spans="1:42" x14ac:dyDescent="0.3">
      <c r="A40" s="1"/>
      <c r="B40" s="16"/>
      <c r="C40" s="16"/>
      <c r="D40" s="16"/>
      <c r="E40" s="16"/>
      <c r="F40" s="16"/>
      <c r="G40" s="16"/>
      <c r="H40" s="16"/>
      <c r="I40" s="16"/>
    </row>
    <row r="41" spans="1:42" x14ac:dyDescent="0.3">
      <c r="A41" s="1" t="s">
        <v>43</v>
      </c>
      <c r="B41" s="5">
        <f>(B39/B34)^(1/5)-1</f>
        <v>0.22494919667459223</v>
      </c>
      <c r="C41" s="5">
        <f t="shared" ref="C41:H41" si="33">(C39/C34)^(1/5)-1</f>
        <v>0.14664692256768319</v>
      </c>
      <c r="D41" s="5">
        <f t="shared" si="33"/>
        <v>0.1422504327099634</v>
      </c>
      <c r="E41" s="5">
        <f t="shared" si="33"/>
        <v>0.16598145706255174</v>
      </c>
      <c r="F41" s="5">
        <f t="shared" si="33"/>
        <v>0.31696396957537587</v>
      </c>
      <c r="G41" s="5">
        <f t="shared" si="33"/>
        <v>0.34518994918757007</v>
      </c>
      <c r="H41" s="5">
        <f t="shared" si="33"/>
        <v>0.2913759785749237</v>
      </c>
    </row>
    <row r="42" spans="1:42" x14ac:dyDescent="0.3">
      <c r="A42" s="1" t="s">
        <v>110</v>
      </c>
      <c r="B42" s="5">
        <f t="shared" ref="B42:H42" si="34">(B39/B36)^(1/3)-1</f>
        <v>0.3368914859712997</v>
      </c>
      <c r="C42" s="5">
        <f t="shared" si="34"/>
        <v>0.25741348287218324</v>
      </c>
      <c r="D42" s="5">
        <f t="shared" si="34"/>
        <v>0.2484076743978314</v>
      </c>
      <c r="E42" s="5">
        <f t="shared" si="34"/>
        <v>0.28776575112072655</v>
      </c>
      <c r="F42" s="5">
        <f t="shared" si="34"/>
        <v>0.47610934248043635</v>
      </c>
      <c r="G42" s="5">
        <f t="shared" si="34"/>
        <v>0.47599656434865589</v>
      </c>
      <c r="H42" s="5">
        <f t="shared" si="34"/>
        <v>0.4753816438912204</v>
      </c>
      <c r="R42" s="45"/>
    </row>
    <row r="43" spans="1:42" x14ac:dyDescent="0.3">
      <c r="A43" s="30" t="s">
        <v>1</v>
      </c>
      <c r="B43" s="31" t="s">
        <v>41</v>
      </c>
      <c r="C43" s="31" t="s">
        <v>36</v>
      </c>
      <c r="D43" s="31" t="s">
        <v>37</v>
      </c>
      <c r="E43" s="31" t="s">
        <v>38</v>
      </c>
      <c r="F43" s="31" t="s">
        <v>39</v>
      </c>
      <c r="G43" s="31" t="s">
        <v>40</v>
      </c>
      <c r="H43" s="32" t="s">
        <v>42</v>
      </c>
      <c r="R43" s="46"/>
    </row>
    <row r="44" spans="1:42" x14ac:dyDescent="0.3">
      <c r="A44" s="22">
        <v>17</v>
      </c>
      <c r="B44" s="33">
        <f>B20</f>
        <v>0</v>
      </c>
      <c r="C44" s="34">
        <f>B21</f>
        <v>1.4426174657043105</v>
      </c>
      <c r="D44" s="35">
        <f>B22</f>
        <v>0.1792166498627332</v>
      </c>
      <c r="E44" s="35">
        <f>B23</f>
        <v>7.074529279736301E-2</v>
      </c>
      <c r="F44" s="35">
        <f>B24</f>
        <v>6.0400100383321574E-2</v>
      </c>
      <c r="G44" s="35">
        <f>B25</f>
        <v>1.5273901443697117E-2</v>
      </c>
      <c r="H44" s="36">
        <v>0</v>
      </c>
    </row>
    <row r="45" spans="1:42" x14ac:dyDescent="0.3">
      <c r="A45" s="22">
        <f t="shared" ref="A45:A52" si="35">A44+1</f>
        <v>18</v>
      </c>
      <c r="B45" s="33">
        <f>C20</f>
        <v>0.10116701615378987</v>
      </c>
      <c r="C45" s="34">
        <f>C21</f>
        <v>1.9393738420527895</v>
      </c>
      <c r="D45" s="35">
        <f>C22</f>
        <v>0.16063986096637525</v>
      </c>
      <c r="E45" s="35">
        <f>C23</f>
        <v>6.4829613173397124E-2</v>
      </c>
      <c r="F45" s="35">
        <f>C24</f>
        <v>5.4916173575396597E-2</v>
      </c>
      <c r="G45" s="35">
        <f>C25</f>
        <v>1.667041657140449E-2</v>
      </c>
      <c r="H45" s="36">
        <f t="shared" ref="H45:H52" si="36">H32/H31-1</f>
        <v>0.20588235294117641</v>
      </c>
    </row>
    <row r="46" spans="1:42" x14ac:dyDescent="0.3">
      <c r="A46" s="22">
        <f t="shared" si="35"/>
        <v>19</v>
      </c>
      <c r="B46" s="33">
        <f>D20</f>
        <v>-9.7579548564779905E-2</v>
      </c>
      <c r="C46" s="34">
        <f>D21</f>
        <v>1.282911837021427</v>
      </c>
      <c r="D46" s="35">
        <f>D22</f>
        <v>0.1647295455015369</v>
      </c>
      <c r="E46" s="35">
        <f>D23</f>
        <v>5.1398022009713558E-2</v>
      </c>
      <c r="F46" s="35">
        <f>D24</f>
        <v>3.9230597169826797E-2</v>
      </c>
      <c r="G46" s="35">
        <f>D25</f>
        <v>6.032894540750058E-3</v>
      </c>
      <c r="H46" s="36">
        <f t="shared" si="36"/>
        <v>-0.6707317073170731</v>
      </c>
    </row>
    <row r="47" spans="1:42" x14ac:dyDescent="0.3">
      <c r="A47" s="22">
        <f t="shared" si="35"/>
        <v>20</v>
      </c>
      <c r="B47" s="33">
        <f>E20</f>
        <v>5.3390324544323908E-2</v>
      </c>
      <c r="C47" s="34">
        <f>E21</f>
        <v>1.7515353195348822</v>
      </c>
      <c r="D47" s="35">
        <f>E22</f>
        <v>0.17728483909788456</v>
      </c>
      <c r="E47" s="35">
        <f>E23</f>
        <v>9.360747995176022E-2</v>
      </c>
      <c r="F47" s="35">
        <f>E24</f>
        <v>6.9903793431054823E-2</v>
      </c>
      <c r="G47" s="35">
        <f>E25</f>
        <v>1.992792090979319E-2</v>
      </c>
      <c r="H47" s="36">
        <f t="shared" si="36"/>
        <v>2.4444444444444442</v>
      </c>
    </row>
    <row r="48" spans="1:42" x14ac:dyDescent="0.3">
      <c r="A48" s="22">
        <f t="shared" si="35"/>
        <v>21</v>
      </c>
      <c r="B48" s="33">
        <f>F20</f>
        <v>-6.6317682803569644E-2</v>
      </c>
      <c r="C48" s="34">
        <f>F21</f>
        <v>1.5931793158434264</v>
      </c>
      <c r="D48" s="35">
        <f>F22</f>
        <v>0.16945771276780905</v>
      </c>
      <c r="E48" s="35">
        <f>F23</f>
        <v>9.2495415676917478E-2</v>
      </c>
      <c r="F48" s="35">
        <f>F24</f>
        <v>6.8739660274801398E-2</v>
      </c>
      <c r="G48" s="35">
        <f>F25</f>
        <v>1.8869951562410215E-2</v>
      </c>
      <c r="H48" s="36">
        <f t="shared" si="36"/>
        <v>-0.12365591397849474</v>
      </c>
    </row>
    <row r="49" spans="1:8" x14ac:dyDescent="0.3">
      <c r="A49" s="22">
        <f t="shared" si="35"/>
        <v>22</v>
      </c>
      <c r="B49" s="33">
        <f>G20</f>
        <v>0.23623996639687417</v>
      </c>
      <c r="C49" s="34">
        <f>G21</f>
        <v>2.0995925706741918</v>
      </c>
      <c r="D49" s="35">
        <f>G22</f>
        <v>0.15313832563666843</v>
      </c>
      <c r="E49" s="35">
        <f>G23</f>
        <v>8.1048691338764717E-2</v>
      </c>
      <c r="F49" s="35">
        <f>G24</f>
        <v>6.1114805986294048E-2</v>
      </c>
      <c r="G49" s="35">
        <f>G25</f>
        <v>2.3649507784101426E-2</v>
      </c>
      <c r="H49" s="36">
        <f t="shared" si="36"/>
        <v>0.27607361963190202</v>
      </c>
    </row>
    <row r="50" spans="1:8" x14ac:dyDescent="0.3">
      <c r="A50" s="22">
        <f t="shared" si="35"/>
        <v>23</v>
      </c>
      <c r="B50" s="33">
        <f>H20</f>
        <v>0.27914230505956938</v>
      </c>
      <c r="C50" s="34">
        <f>H21</f>
        <v>3.3827901279879122</v>
      </c>
      <c r="D50" s="35">
        <f>H22</f>
        <v>0.15625019423302297</v>
      </c>
      <c r="E50" s="35">
        <f>H23</f>
        <v>8.4229279911712848E-2</v>
      </c>
      <c r="F50" s="35">
        <f>H24</f>
        <v>6.8426308509029296E-2</v>
      </c>
      <c r="G50" s="35">
        <f>H25</f>
        <v>3.365074174570077E-2</v>
      </c>
      <c r="H50" s="36">
        <f t="shared" si="36"/>
        <v>0.81730769230769207</v>
      </c>
    </row>
    <row r="51" spans="1:8" x14ac:dyDescent="0.3">
      <c r="A51" s="22">
        <f t="shared" si="35"/>
        <v>24</v>
      </c>
      <c r="B51" s="33">
        <f>I20</f>
        <v>0.36244218761977698</v>
      </c>
      <c r="C51" s="34">
        <f>I21</f>
        <v>4.0793082614669087</v>
      </c>
      <c r="D51" s="35">
        <f>I22</f>
        <v>0.14516602911707061</v>
      </c>
      <c r="E51" s="35">
        <f>I23</f>
        <v>7.5536400519991678E-2</v>
      </c>
      <c r="F51" s="35">
        <f>I24</f>
        <v>6.2459627121399824E-2</v>
      </c>
      <c r="G51" s="35">
        <f>I25</f>
        <v>3.5105704947922672E-2</v>
      </c>
      <c r="H51" s="36">
        <f t="shared" si="36"/>
        <v>0.42328042328042326</v>
      </c>
    </row>
    <row r="52" spans="1:8" x14ac:dyDescent="0.3">
      <c r="A52" s="26">
        <f t="shared" si="35"/>
        <v>25</v>
      </c>
      <c r="B52" s="37">
        <f>J20</f>
        <v>0.37104442415341543</v>
      </c>
      <c r="C52" s="38">
        <f>J21</f>
        <v>4.7338243598832079</v>
      </c>
      <c r="D52" s="39">
        <f>J22</f>
        <v>0.12741769971664052</v>
      </c>
      <c r="E52" s="39">
        <f>J23</f>
        <v>6.5997399553898911E-2</v>
      </c>
      <c r="F52" s="39">
        <f>J24</f>
        <v>5.4622123109194433E-2</v>
      </c>
      <c r="G52" s="39">
        <f>J25</f>
        <v>3.1826558055178686E-2</v>
      </c>
      <c r="H52" s="40">
        <f t="shared" si="36"/>
        <v>0.24163568773234201</v>
      </c>
    </row>
    <row r="58" spans="1:8" x14ac:dyDescent="0.3">
      <c r="A58" s="11" t="s">
        <v>1</v>
      </c>
      <c r="B58" s="18">
        <v>19</v>
      </c>
    </row>
    <row r="60" spans="1:8" x14ac:dyDescent="0.3">
      <c r="A60" t="s">
        <v>74</v>
      </c>
      <c r="B60" t="s">
        <v>75</v>
      </c>
      <c r="C60" t="s">
        <v>84</v>
      </c>
      <c r="D60" t="s">
        <v>86</v>
      </c>
      <c r="E60" t="s">
        <v>91</v>
      </c>
      <c r="F60" t="s">
        <v>92</v>
      </c>
      <c r="G60" t="s">
        <v>93</v>
      </c>
    </row>
    <row r="61" spans="1:8" x14ac:dyDescent="0.3">
      <c r="A61" s="59">
        <v>-9.7579548564779905E-2</v>
      </c>
      <c r="B61" s="59">
        <v>-0.6707317073170731</v>
      </c>
      <c r="C61" s="59">
        <v>-7.460508293560042E-2</v>
      </c>
      <c r="D61" s="59">
        <v>-0.28454568900750177</v>
      </c>
      <c r="E61" s="59">
        <v>-0.3553357617048315</v>
      </c>
      <c r="F61" s="59">
        <v>-0.70649807326160818</v>
      </c>
      <c r="G61" s="59">
        <v>-0.67342103350534199</v>
      </c>
    </row>
    <row r="63" spans="1:8" x14ac:dyDescent="0.3">
      <c r="A63" s="11" t="s">
        <v>1</v>
      </c>
      <c r="B63" s="18">
        <v>19</v>
      </c>
    </row>
    <row r="65" spans="1:16" x14ac:dyDescent="0.3">
      <c r="A65" t="s">
        <v>68</v>
      </c>
      <c r="B65" t="s">
        <v>67</v>
      </c>
      <c r="C65" t="s">
        <v>66</v>
      </c>
      <c r="D65" t="s">
        <v>65</v>
      </c>
      <c r="E65" t="s">
        <v>73</v>
      </c>
      <c r="F65" t="s">
        <v>64</v>
      </c>
    </row>
    <row r="66" spans="1:16" x14ac:dyDescent="0.3">
      <c r="A66" s="4">
        <v>449.34</v>
      </c>
      <c r="B66" s="4">
        <v>644.36</v>
      </c>
      <c r="C66" s="4">
        <v>2921.96</v>
      </c>
      <c r="D66" s="4">
        <v>3828.21</v>
      </c>
      <c r="E66" s="4">
        <v>12269.33</v>
      </c>
      <c r="F66" s="4">
        <v>74481.66</v>
      </c>
    </row>
    <row r="68" spans="1:16" x14ac:dyDescent="0.3">
      <c r="A68" s="1" t="str">
        <f t="shared" ref="A68:F69" si="37">A65</f>
        <v xml:space="preserve">PAT </v>
      </c>
      <c r="B68" s="1" t="str">
        <f t="shared" si="37"/>
        <v xml:space="preserve">EBT </v>
      </c>
      <c r="C68" s="1" t="str">
        <f t="shared" si="37"/>
        <v xml:space="preserve">EBIT </v>
      </c>
      <c r="D68" s="1" t="str">
        <f t="shared" si="37"/>
        <v xml:space="preserve">EBITDA </v>
      </c>
      <c r="E68" s="1" t="str">
        <f t="shared" si="37"/>
        <v xml:space="preserve">Gross profit </v>
      </c>
      <c r="F68" s="1" t="str">
        <f t="shared" si="37"/>
        <v xml:space="preserve">Revenue </v>
      </c>
    </row>
    <row r="69" spans="1:16" x14ac:dyDescent="0.3">
      <c r="A69" s="41">
        <f t="shared" si="37"/>
        <v>449.34</v>
      </c>
      <c r="B69" s="41">
        <f t="shared" si="37"/>
        <v>644.36</v>
      </c>
      <c r="C69" s="41">
        <f t="shared" si="37"/>
        <v>2921.96</v>
      </c>
      <c r="D69" s="41">
        <f t="shared" si="37"/>
        <v>3828.21</v>
      </c>
      <c r="E69" s="41">
        <f t="shared" si="37"/>
        <v>12269.33</v>
      </c>
      <c r="F69" s="41">
        <f t="shared" si="37"/>
        <v>74481.66</v>
      </c>
    </row>
    <row r="71" spans="1:16" x14ac:dyDescent="0.3">
      <c r="A71" s="11" t="s">
        <v>1</v>
      </c>
      <c r="B71" s="18">
        <v>19</v>
      </c>
    </row>
    <row r="73" spans="1:16" x14ac:dyDescent="0.3">
      <c r="A73" t="s">
        <v>74</v>
      </c>
      <c r="B73" t="s">
        <v>75</v>
      </c>
      <c r="C73" t="s">
        <v>76</v>
      </c>
      <c r="D73" t="s">
        <v>77</v>
      </c>
      <c r="E73" t="s">
        <v>78</v>
      </c>
      <c r="F73" t="s">
        <v>79</v>
      </c>
      <c r="G73" t="s">
        <v>80</v>
      </c>
      <c r="H73" t="s">
        <v>81</v>
      </c>
      <c r="I73" t="s">
        <v>83</v>
      </c>
      <c r="J73" t="s">
        <v>86</v>
      </c>
      <c r="K73" t="s">
        <v>87</v>
      </c>
      <c r="L73" t="s">
        <v>91</v>
      </c>
      <c r="M73" t="s">
        <v>92</v>
      </c>
      <c r="N73" t="s">
        <v>93</v>
      </c>
      <c r="O73" t="s">
        <v>94</v>
      </c>
      <c r="P73" t="s">
        <v>102</v>
      </c>
    </row>
    <row r="74" spans="1:16" x14ac:dyDescent="0.3">
      <c r="A74" s="57">
        <v>-9.7579548564779905E-2</v>
      </c>
      <c r="B74" s="57">
        <v>-0.6707317073170731</v>
      </c>
      <c r="C74" s="42">
        <v>1.282911837021427</v>
      </c>
      <c r="D74" s="43">
        <v>0.16472954550153687</v>
      </c>
      <c r="E74" s="43">
        <v>5.139802200971353E-2</v>
      </c>
      <c r="F74" s="43">
        <v>3.923059716982677E-2</v>
      </c>
      <c r="G74" s="43">
        <v>8.6512572356738562E-3</v>
      </c>
      <c r="H74" s="43">
        <v>6.0328945407500311E-3</v>
      </c>
      <c r="I74" s="58">
        <v>-7.460508293560042E-2</v>
      </c>
      <c r="J74" s="58">
        <v>-0.28454568900750177</v>
      </c>
      <c r="K74" s="48">
        <v>190.84931824163289</v>
      </c>
      <c r="L74" s="58">
        <v>-0.3553357617048315</v>
      </c>
      <c r="M74" s="58">
        <v>-0.70649807326160818</v>
      </c>
      <c r="N74" s="58">
        <v>-0.67342103350534199</v>
      </c>
      <c r="O74" s="42">
        <v>3.7605496101031602E-2</v>
      </c>
      <c r="P74" s="60">
        <v>0.54</v>
      </c>
    </row>
    <row r="76" spans="1:16" x14ac:dyDescent="0.3">
      <c r="A76" s="11" t="s">
        <v>1</v>
      </c>
      <c r="B76" s="18">
        <v>19</v>
      </c>
    </row>
    <row r="78" spans="1:16" x14ac:dyDescent="0.3">
      <c r="A78" t="s">
        <v>95</v>
      </c>
      <c r="B78" t="s">
        <v>96</v>
      </c>
      <c r="C78" t="s">
        <v>97</v>
      </c>
      <c r="D78" t="s">
        <v>99</v>
      </c>
      <c r="E78" t="s">
        <v>98</v>
      </c>
      <c r="F78" t="s">
        <v>100</v>
      </c>
      <c r="G78" t="s">
        <v>101</v>
      </c>
      <c r="H78" t="s">
        <v>105</v>
      </c>
      <c r="I78" t="s">
        <v>106</v>
      </c>
      <c r="J78" t="s">
        <v>107</v>
      </c>
      <c r="K78" t="s">
        <v>108</v>
      </c>
      <c r="L78" t="s">
        <v>109</v>
      </c>
    </row>
    <row r="79" spans="1:16" x14ac:dyDescent="0.3">
      <c r="A79" s="43">
        <v>0.16472954550153687</v>
      </c>
      <c r="B79" s="43">
        <v>5.139802200971353E-2</v>
      </c>
      <c r="C79" s="43">
        <v>3.923059716982677E-2</v>
      </c>
      <c r="D79" s="43">
        <v>8.6512572356738562E-3</v>
      </c>
      <c r="E79" s="43">
        <v>6.0328945407500311E-3</v>
      </c>
      <c r="F79" s="7">
        <v>1.1940639071507391</v>
      </c>
      <c r="G79" s="7">
        <v>0.25935740876889263</v>
      </c>
      <c r="H79" s="43">
        <v>0.13061957979436742</v>
      </c>
      <c r="I79" s="43">
        <v>3.0316631803198782E-2</v>
      </c>
      <c r="J79" s="7">
        <v>-263.39</v>
      </c>
      <c r="K79" s="7">
        <v>1434.64</v>
      </c>
      <c r="L79" s="7">
        <v>-1418.2</v>
      </c>
    </row>
    <row r="81" spans="1:10" x14ac:dyDescent="0.3">
      <c r="A81" t="str">
        <f>E78</f>
        <v xml:space="preserve"> PAT Margin %</v>
      </c>
      <c r="B81" t="str">
        <f>D78</f>
        <v xml:space="preserve"> EBT Margin %</v>
      </c>
      <c r="C81" t="str">
        <f t="shared" ref="C81:C82" si="38">C78</f>
        <v xml:space="preserve"> EBIT Margin %</v>
      </c>
      <c r="D81" t="str">
        <f>B78</f>
        <v xml:space="preserve"> EBITDA Margin %</v>
      </c>
      <c r="E81" t="str">
        <f>A78</f>
        <v xml:space="preserve"> Gross Profit Margin %</v>
      </c>
      <c r="F81" t="str">
        <f>H78</f>
        <v xml:space="preserve"> ROCE %</v>
      </c>
      <c r="G81" t="str">
        <f t="shared" ref="F81:G82" si="39">I78</f>
        <v xml:space="preserve"> ROE %</v>
      </c>
      <c r="H81" t="str">
        <f t="shared" ref="H81:H82" si="40">J78</f>
        <v xml:space="preserve"> CFO</v>
      </c>
      <c r="I81" t="str">
        <f t="shared" ref="I81:I82" si="41">K78</f>
        <v xml:space="preserve"> CFI</v>
      </c>
      <c r="J81" t="str">
        <f t="shared" ref="J81:J82" si="42">L78</f>
        <v xml:space="preserve"> CFF</v>
      </c>
    </row>
    <row r="82" spans="1:10" x14ac:dyDescent="0.3">
      <c r="A82" s="47">
        <f>E79</f>
        <v>6.0328945407500311E-3</v>
      </c>
      <c r="B82" s="47">
        <f>D79</f>
        <v>8.6512572356738562E-3</v>
      </c>
      <c r="C82" s="47">
        <f t="shared" si="38"/>
        <v>3.923059716982677E-2</v>
      </c>
      <c r="D82" s="47">
        <f>B79</f>
        <v>5.139802200971353E-2</v>
      </c>
      <c r="E82" s="47">
        <f>A79</f>
        <v>0.16472954550153687</v>
      </c>
      <c r="F82" s="47">
        <f t="shared" si="39"/>
        <v>0.13061957979436742</v>
      </c>
      <c r="G82" s="47">
        <f t="shared" si="39"/>
        <v>3.0316631803198782E-2</v>
      </c>
      <c r="H82" s="67">
        <f t="shared" si="40"/>
        <v>-263.39</v>
      </c>
      <c r="I82" s="67">
        <f t="shared" si="41"/>
        <v>1434.64</v>
      </c>
      <c r="J82" s="67">
        <f t="shared" si="42"/>
        <v>-1418.2</v>
      </c>
    </row>
  </sheetData>
  <sortState xmlns:xlrd2="http://schemas.microsoft.com/office/spreadsheetml/2017/richdata2" columnSort="1" ref="O6:U7">
    <sortCondition descending="1" ref="P7"/>
  </sortState>
  <conditionalFormatting sqref="B44:B52">
    <cfRule type="cellIs" dxfId="428" priority="13" operator="lessThan">
      <formula>0</formula>
    </cfRule>
    <cfRule type="cellIs" dxfId="427" priority="14" operator="greaterThan">
      <formula>0</formula>
    </cfRule>
  </conditionalFormatting>
  <conditionalFormatting sqref="B20:J20">
    <cfRule type="cellIs" dxfId="426" priority="17" operator="lessThan">
      <formula>0</formula>
    </cfRule>
    <cfRule type="cellIs" dxfId="425" priority="18" operator="greaterThan">
      <formula>0</formula>
    </cfRule>
  </conditionalFormatting>
  <conditionalFormatting sqref="B26:J26">
    <cfRule type="cellIs" dxfId="424" priority="15" operator="greaterThan">
      <formula>0</formula>
    </cfRule>
    <cfRule type="cellIs" dxfId="423" priority="16" operator="lessThan">
      <formula>0</formula>
    </cfRule>
  </conditionalFormatting>
  <conditionalFormatting sqref="H44:H52">
    <cfRule type="cellIs" dxfId="422" priority="11" operator="greaterThan">
      <formula>0</formula>
    </cfRule>
    <cfRule type="cellIs" dxfId="421" priority="12" operator="lessThan">
      <formula>0</formula>
    </cfRule>
  </conditionalFormatting>
  <conditionalFormatting sqref="R32:R39 Y32:Y39">
    <cfRule type="cellIs" dxfId="420" priority="7" operator="lessThan">
      <formula>0</formula>
    </cfRule>
    <cfRule type="cellIs" dxfId="419" priority="8" operator="greaterThan">
      <formula>0</formula>
    </cfRule>
  </conditionalFormatting>
  <conditionalFormatting pivot="1" sqref="A74:B74">
    <cfRule type="cellIs" dxfId="418" priority="4" operator="greaterThan">
      <formula>0</formula>
    </cfRule>
  </conditionalFormatting>
  <conditionalFormatting pivot="1" sqref="A74:B74">
    <cfRule type="cellIs" dxfId="417" priority="3" operator="lessThan">
      <formula>0</formula>
    </cfRule>
  </conditionalFormatting>
  <conditionalFormatting sqref="R42">
    <cfRule type="cellIs" dxfId="416" priority="1" operator="lessThan">
      <formula>0</formula>
    </cfRule>
    <cfRule type="cellIs" dxfId="415" priority="2" operator="greaterThan">
      <formula>0</formula>
    </cfRule>
  </conditionalFormatting>
  <pageMargins left="0.7" right="0.7" top="0.75" bottom="0.75" header="0.3" footer="0.3"/>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588D7-1890-434D-BB57-E1BB62937724}">
  <sheetPr codeName="Sheet3"/>
  <dimension ref="A1:J11"/>
  <sheetViews>
    <sheetView workbookViewId="0">
      <selection activeCell="E14" sqref="E14"/>
    </sheetView>
  </sheetViews>
  <sheetFormatPr defaultRowHeight="14.4" x14ac:dyDescent="0.3"/>
  <cols>
    <col min="1" max="5" width="13.88671875" customWidth="1"/>
    <col min="6" max="6" width="9.5546875" bestFit="1" customWidth="1"/>
    <col min="7" max="7" width="4.77734375" bestFit="1" customWidth="1"/>
    <col min="8" max="8" width="7.109375" bestFit="1" customWidth="1"/>
    <col min="9" max="9" width="4.33203125" bestFit="1" customWidth="1"/>
    <col min="10" max="10" width="9.5546875" bestFit="1" customWidth="1"/>
    <col min="12" max="12" width="11.33203125" bestFit="1" customWidth="1"/>
    <col min="13" max="13" width="6.33203125" bestFit="1" customWidth="1"/>
    <col min="14" max="16" width="11.33203125" bestFit="1" customWidth="1"/>
  </cols>
  <sheetData>
    <row r="1" spans="1:10" x14ac:dyDescent="0.3">
      <c r="G1" s="11" t="s">
        <v>1</v>
      </c>
      <c r="H1" t="s">
        <v>55</v>
      </c>
    </row>
    <row r="2" spans="1:10" x14ac:dyDescent="0.3">
      <c r="A2" s="12" t="s">
        <v>1</v>
      </c>
      <c r="B2" s="1" t="s">
        <v>28</v>
      </c>
      <c r="C2" s="1" t="s">
        <v>29</v>
      </c>
      <c r="D2" s="1" t="s">
        <v>30</v>
      </c>
      <c r="E2" s="1" t="s">
        <v>31</v>
      </c>
    </row>
    <row r="3" spans="1:10" x14ac:dyDescent="0.3">
      <c r="A3" s="13" t="s">
        <v>0</v>
      </c>
      <c r="F3" s="2"/>
      <c r="G3" t="s">
        <v>60</v>
      </c>
      <c r="H3" t="s">
        <v>61</v>
      </c>
      <c r="I3" t="s">
        <v>62</v>
      </c>
      <c r="J3" s="2"/>
    </row>
    <row r="4" spans="1:10" x14ac:dyDescent="0.3">
      <c r="A4" s="13" t="s">
        <v>52</v>
      </c>
      <c r="F4" s="3"/>
      <c r="G4" s="7"/>
      <c r="H4" s="7"/>
      <c r="I4" s="7"/>
      <c r="J4" s="3"/>
    </row>
    <row r="5" spans="1:10" x14ac:dyDescent="0.3">
      <c r="A5" s="13" t="s">
        <v>53</v>
      </c>
      <c r="F5" s="3"/>
      <c r="J5" s="3"/>
    </row>
    <row r="6" spans="1:10" x14ac:dyDescent="0.3">
      <c r="A6" s="13" t="s">
        <v>54</v>
      </c>
      <c r="F6" s="3"/>
      <c r="J6" s="3"/>
    </row>
    <row r="7" spans="1:10" x14ac:dyDescent="0.3">
      <c r="A7" s="13" t="s">
        <v>55</v>
      </c>
      <c r="F7" s="3"/>
      <c r="J7" s="3"/>
    </row>
    <row r="8" spans="1:10" x14ac:dyDescent="0.3">
      <c r="A8" s="13" t="s">
        <v>56</v>
      </c>
    </row>
    <row r="9" spans="1:10" x14ac:dyDescent="0.3">
      <c r="A9" s="13" t="s">
        <v>57</v>
      </c>
      <c r="F9" s="5"/>
      <c r="J9" s="5"/>
    </row>
    <row r="10" spans="1:10" x14ac:dyDescent="0.3">
      <c r="A10" s="13" t="s">
        <v>58</v>
      </c>
      <c r="F10" s="5"/>
      <c r="J10" s="5"/>
    </row>
    <row r="11" spans="1:10" x14ac:dyDescent="0.3">
      <c r="A11" s="14" t="s">
        <v>59</v>
      </c>
      <c r="F11" s="5"/>
      <c r="J11" s="5"/>
    </row>
  </sheetData>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91D5F-7CF7-4507-B01F-27291C2DEBC5}">
  <sheetPr codeName="Sheet4"/>
  <dimension ref="AA13:AG13"/>
  <sheetViews>
    <sheetView showGridLines="0" tabSelected="1" zoomScale="75" zoomScaleNormal="75" workbookViewId="0">
      <selection activeCell="AB23" sqref="AB23"/>
    </sheetView>
  </sheetViews>
  <sheetFormatPr defaultRowHeight="14.4" x14ac:dyDescent="0.3"/>
  <sheetData>
    <row r="13" spans="27:33" x14ac:dyDescent="0.3">
      <c r="AA13" s="43"/>
      <c r="AB13" s="43"/>
      <c r="AC13" s="43"/>
      <c r="AD13" s="43"/>
      <c r="AE13" s="43"/>
      <c r="AF13" s="43"/>
      <c r="AG13" s="4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Prakhar Ojha</dc:creator>
  <cp:lastModifiedBy>Prakhar Ojha</cp:lastModifiedBy>
  <dcterms:created xsi:type="dcterms:W3CDTF">2026-07-29T18:23:16Z</dcterms:created>
  <dcterms:modified xsi:type="dcterms:W3CDTF">2026-08-01T23:47:51Z</dcterms:modified>
</cp:coreProperties>
</file>